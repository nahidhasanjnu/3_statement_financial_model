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nancial_Modeling\"/>
    </mc:Choice>
  </mc:AlternateContent>
  <xr:revisionPtr revIDLastSave="0" documentId="13_ncr:1_{2130DC8D-72EC-45FE-AADB-A0E089A8EC5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istorical Data" sheetId="1" r:id="rId1"/>
    <sheet name="3-Statment 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D11" i="2"/>
  <c r="D10" i="2" s="1"/>
  <c r="D16" i="2"/>
  <c r="D18" i="2"/>
  <c r="D21" i="2"/>
  <c r="E127" i="2"/>
  <c r="F127" i="2"/>
  <c r="G127" i="2"/>
  <c r="H127" i="2"/>
  <c r="D127" i="2"/>
  <c r="D12" i="2" l="1"/>
  <c r="D20" i="2" s="1"/>
  <c r="D189" i="2"/>
  <c r="E189" i="2" s="1"/>
  <c r="F189" i="2" s="1"/>
  <c r="G189" i="2" s="1"/>
  <c r="H189" i="2" s="1"/>
  <c r="C142" i="2"/>
  <c r="D142" i="2" s="1"/>
  <c r="C143" i="2"/>
  <c r="D143" i="2" s="1"/>
  <c r="E143" i="2" s="1"/>
  <c r="F143" i="2" s="1"/>
  <c r="G143" i="2" s="1"/>
  <c r="H143" i="2" s="1"/>
  <c r="C144" i="2"/>
  <c r="D144" i="2" s="1"/>
  <c r="C145" i="2"/>
  <c r="D145" i="2" s="1"/>
  <c r="C148" i="2"/>
  <c r="D148" i="2" s="1"/>
  <c r="C141" i="2"/>
  <c r="D159" i="2" l="1"/>
  <c r="D170" i="2" s="1"/>
  <c r="D181" i="2" s="1"/>
  <c r="E148" i="2"/>
  <c r="E142" i="2"/>
  <c r="E145" i="2"/>
  <c r="D141" i="2"/>
  <c r="E144" i="2"/>
  <c r="F144" i="2" l="1"/>
  <c r="F145" i="2"/>
  <c r="E141" i="2"/>
  <c r="F148" i="2"/>
  <c r="E159" i="2"/>
  <c r="E170" i="2" s="1"/>
  <c r="F142" i="2"/>
  <c r="E181" i="2" l="1"/>
  <c r="F141" i="2"/>
  <c r="G145" i="2"/>
  <c r="G148" i="2"/>
  <c r="F159" i="2"/>
  <c r="F170" i="2" s="1"/>
  <c r="G142" i="2"/>
  <c r="G144" i="2"/>
  <c r="F181" i="2" l="1"/>
  <c r="H142" i="2"/>
  <c r="H148" i="2"/>
  <c r="G159" i="2"/>
  <c r="G170" i="2" s="1"/>
  <c r="H145" i="2"/>
  <c r="G141" i="2"/>
  <c r="H144" i="2"/>
  <c r="G181" i="2" l="1"/>
  <c r="H141" i="2"/>
  <c r="H159" i="2"/>
  <c r="H170" i="2" s="1"/>
  <c r="H181" i="2" s="1"/>
  <c r="E21" i="2" l="1"/>
  <c r="F21" i="2" s="1"/>
  <c r="G21" i="2" s="1"/>
  <c r="H21" i="2" s="1"/>
  <c r="E8" i="2"/>
  <c r="F8" i="2"/>
  <c r="G8" i="2"/>
  <c r="H8" i="2"/>
  <c r="G50" i="2"/>
  <c r="H50" i="2" s="1"/>
  <c r="E50" i="2"/>
  <c r="C38" i="2"/>
  <c r="C31" i="2"/>
  <c r="C147" i="2" s="1"/>
  <c r="D147" i="2" s="1"/>
  <c r="C30" i="2"/>
  <c r="C146" i="2" s="1"/>
  <c r="E147" i="2" l="1"/>
  <c r="D158" i="2"/>
  <c r="D169" i="2" s="1"/>
  <c r="D180" i="2" s="1"/>
  <c r="D146" i="2"/>
  <c r="C149" i="2"/>
  <c r="D149" i="2" s="1"/>
  <c r="E149" i="2" s="1"/>
  <c r="F149" i="2" s="1"/>
  <c r="G149" i="2" s="1"/>
  <c r="H149" i="2" s="1"/>
  <c r="C33" i="2"/>
  <c r="D36" i="2" l="1"/>
  <c r="D37" i="2"/>
  <c r="F147" i="2"/>
  <c r="E158" i="2"/>
  <c r="E169" i="2" s="1"/>
  <c r="D157" i="2"/>
  <c r="E146" i="2"/>
  <c r="D38" i="2" l="1"/>
  <c r="C44" i="2"/>
  <c r="C185" i="2" s="1"/>
  <c r="C188" i="2" s="1"/>
  <c r="D185" i="2" s="1"/>
  <c r="E180" i="2"/>
  <c r="F146" i="2"/>
  <c r="E157" i="2"/>
  <c r="D168" i="2"/>
  <c r="G147" i="2"/>
  <c r="F158" i="2"/>
  <c r="F169" i="2" s="1"/>
  <c r="C45" i="2" l="1"/>
  <c r="G187" i="2" s="1"/>
  <c r="G131" i="2" s="1"/>
  <c r="G133" i="2" s="1"/>
  <c r="F180" i="2"/>
  <c r="H147" i="2"/>
  <c r="G158" i="2"/>
  <c r="G169" i="2" s="1"/>
  <c r="E168" i="2"/>
  <c r="D179" i="2"/>
  <c r="G146" i="2"/>
  <c r="F157" i="2"/>
  <c r="D187" i="2" l="1"/>
  <c r="D131" i="2" s="1"/>
  <c r="D133" i="2" s="1"/>
  <c r="E187" i="2"/>
  <c r="E131" i="2" s="1"/>
  <c r="E133" i="2" s="1"/>
  <c r="H187" i="2"/>
  <c r="H131" i="2" s="1"/>
  <c r="H133" i="2" s="1"/>
  <c r="F187" i="2"/>
  <c r="F131" i="2" s="1"/>
  <c r="F133" i="2" s="1"/>
  <c r="D188" i="2"/>
  <c r="D104" i="2" s="1"/>
  <c r="D105" i="2" s="1"/>
  <c r="G180" i="2"/>
  <c r="H158" i="2"/>
  <c r="H169" i="2" s="1"/>
  <c r="H180" i="2" s="1"/>
  <c r="F168" i="2"/>
  <c r="E179" i="2"/>
  <c r="H146" i="2"/>
  <c r="G157" i="2"/>
  <c r="D190" i="2" l="1"/>
  <c r="D75" i="2" s="1"/>
  <c r="E185" i="2"/>
  <c r="E188" i="2" s="1"/>
  <c r="E104" i="2" s="1"/>
  <c r="E105" i="2" s="1"/>
  <c r="D110" i="2"/>
  <c r="G110" i="2"/>
  <c r="F110" i="2"/>
  <c r="H110" i="2"/>
  <c r="E110" i="2"/>
  <c r="G168" i="2"/>
  <c r="F179" i="2"/>
  <c r="H157" i="2"/>
  <c r="B16" i="1"/>
  <c r="B19" i="1" s="1"/>
  <c r="B17" i="1"/>
  <c r="G59" i="1"/>
  <c r="H59" i="1" s="1"/>
  <c r="E59" i="1"/>
  <c r="C29" i="1"/>
  <c r="E42" i="1"/>
  <c r="F42" i="1" s="1"/>
  <c r="E190" i="2" l="1"/>
  <c r="E75" i="2" s="1"/>
  <c r="F185" i="2"/>
  <c r="F188" i="2" s="1"/>
  <c r="D61" i="2"/>
  <c r="E16" i="2"/>
  <c r="H168" i="2"/>
  <c r="G179" i="2"/>
  <c r="G42" i="1"/>
  <c r="H42" i="1" s="1"/>
  <c r="E61" i="2" l="1"/>
  <c r="F16" i="2"/>
  <c r="G185" i="2"/>
  <c r="G188" i="2" s="1"/>
  <c r="F104" i="2"/>
  <c r="F105" i="2" s="1"/>
  <c r="F190" i="2"/>
  <c r="F75" i="2" s="1"/>
  <c r="H179" i="2"/>
  <c r="G16" i="2" l="1"/>
  <c r="F61" i="2"/>
  <c r="G190" i="2"/>
  <c r="G75" i="2" s="1"/>
  <c r="G104" i="2"/>
  <c r="G105" i="2" s="1"/>
  <c r="H185" i="2"/>
  <c r="H188" i="2" s="1"/>
  <c r="H16" i="2" l="1"/>
  <c r="H61" i="2" s="1"/>
  <c r="G61" i="2"/>
  <c r="H190" i="2"/>
  <c r="H75" i="2" s="1"/>
  <c r="H104" i="2"/>
  <c r="H105" i="2" s="1"/>
  <c r="E18" i="2" l="1"/>
  <c r="E69" i="2" s="1"/>
  <c r="D69" i="2"/>
  <c r="E11" i="2"/>
  <c r="E10" i="2" s="1"/>
  <c r="D42" i="2"/>
  <c r="D57" i="2"/>
  <c r="D52" i="2" s="1"/>
  <c r="D90" i="2" s="1"/>
  <c r="D60" i="2"/>
  <c r="D70" i="2"/>
  <c r="D152" i="2"/>
  <c r="E152" i="2"/>
  <c r="F152" i="2"/>
  <c r="G152" i="2"/>
  <c r="H152" i="2"/>
  <c r="D153" i="2"/>
  <c r="E153" i="2"/>
  <c r="F153" i="2"/>
  <c r="G153" i="2"/>
  <c r="H153" i="2"/>
  <c r="D154" i="2"/>
  <c r="E154" i="2"/>
  <c r="F154" i="2"/>
  <c r="G154" i="2"/>
  <c r="H154" i="2"/>
  <c r="D155" i="2"/>
  <c r="D166" i="2" s="1"/>
  <c r="D177" i="2" s="1"/>
  <c r="E155" i="2"/>
  <c r="F155" i="2"/>
  <c r="G155" i="2"/>
  <c r="H155" i="2"/>
  <c r="D156" i="2"/>
  <c r="D167" i="2" s="1"/>
  <c r="E156" i="2"/>
  <c r="F156" i="2"/>
  <c r="G156" i="2"/>
  <c r="H156" i="2"/>
  <c r="D164" i="2"/>
  <c r="D165" i="2"/>
  <c r="E165" i="2" l="1"/>
  <c r="E176" i="2" s="1"/>
  <c r="D176" i="2"/>
  <c r="D71" i="2"/>
  <c r="E167" i="2"/>
  <c r="E178" i="2" s="1"/>
  <c r="F18" i="2"/>
  <c r="G18" i="2" s="1"/>
  <c r="G69" i="2" s="1"/>
  <c r="E160" i="2"/>
  <c r="E62" i="2" s="1"/>
  <c r="G160" i="2"/>
  <c r="G62" i="2" s="1"/>
  <c r="E164" i="2"/>
  <c r="F164" i="2" s="1"/>
  <c r="F160" i="2"/>
  <c r="F62" i="2" s="1"/>
  <c r="H160" i="2"/>
  <c r="H62" i="2" s="1"/>
  <c r="D160" i="2"/>
  <c r="D62" i="2" s="1"/>
  <c r="D63" i="2" s="1"/>
  <c r="D65" i="2" s="1"/>
  <c r="E166" i="2"/>
  <c r="F166" i="2" s="1"/>
  <c r="D163" i="2"/>
  <c r="D178" i="2"/>
  <c r="D175" i="2"/>
  <c r="E12" i="2"/>
  <c r="D120" i="2"/>
  <c r="F11" i="2"/>
  <c r="G11" i="2" s="1"/>
  <c r="H11" i="2" s="1"/>
  <c r="F167" i="2" l="1"/>
  <c r="G167" i="2" s="1"/>
  <c r="H167" i="2" s="1"/>
  <c r="H178" i="2" s="1"/>
  <c r="F165" i="2"/>
  <c r="F176" i="2" s="1"/>
  <c r="H119" i="2"/>
  <c r="G119" i="2"/>
  <c r="D119" i="2"/>
  <c r="E119" i="2"/>
  <c r="D54" i="2"/>
  <c r="D100" i="2" s="1"/>
  <c r="D122" i="2" s="1"/>
  <c r="E177" i="2"/>
  <c r="F69" i="2"/>
  <c r="H18" i="2"/>
  <c r="H69" i="2" s="1"/>
  <c r="F119" i="2"/>
  <c r="E175" i="2"/>
  <c r="D53" i="2"/>
  <c r="D91" i="2" s="1"/>
  <c r="D121" i="2" s="1"/>
  <c r="D171" i="2"/>
  <c r="E163" i="2"/>
  <c r="D174" i="2"/>
  <c r="D182" i="2" s="1"/>
  <c r="D95" i="2" s="1"/>
  <c r="F10" i="2"/>
  <c r="E60" i="2"/>
  <c r="E63" i="2" s="1"/>
  <c r="E20" i="2"/>
  <c r="E70" i="2" s="1"/>
  <c r="E71" i="2" s="1"/>
  <c r="E57" i="2"/>
  <c r="D73" i="2"/>
  <c r="D76" i="2" s="1"/>
  <c r="D66" i="2"/>
  <c r="F177" i="2"/>
  <c r="G166" i="2"/>
  <c r="G164" i="2"/>
  <c r="F175" i="2"/>
  <c r="G178" i="2" l="1"/>
  <c r="F178" i="2"/>
  <c r="D101" i="2"/>
  <c r="D107" i="2" s="1"/>
  <c r="G165" i="2"/>
  <c r="G176" i="2" s="1"/>
  <c r="F163" i="2"/>
  <c r="E174" i="2"/>
  <c r="E182" i="2" s="1"/>
  <c r="E95" i="2" s="1"/>
  <c r="E171" i="2"/>
  <c r="D77" i="2"/>
  <c r="D78" i="2" s="1"/>
  <c r="G10" i="2"/>
  <c r="F12" i="2"/>
  <c r="E52" i="2"/>
  <c r="E90" i="2" s="1"/>
  <c r="E65" i="2"/>
  <c r="H166" i="2"/>
  <c r="H177" i="2" s="1"/>
  <c r="G177" i="2"/>
  <c r="H164" i="2"/>
  <c r="H175" i="2" s="1"/>
  <c r="G175" i="2"/>
  <c r="E53" i="2"/>
  <c r="E91" i="2" s="1"/>
  <c r="E54" i="2"/>
  <c r="E100" i="2" s="1"/>
  <c r="H165" i="2" l="1"/>
  <c r="H176" i="2" s="1"/>
  <c r="F174" i="2"/>
  <c r="F182" i="2" s="1"/>
  <c r="F95" i="2" s="1"/>
  <c r="G163" i="2"/>
  <c r="F171" i="2"/>
  <c r="D80" i="2"/>
  <c r="D84" i="2"/>
  <c r="D85" i="2" s="1"/>
  <c r="D117" i="2"/>
  <c r="D123" i="2" s="1"/>
  <c r="D135" i="2" s="1"/>
  <c r="D137" i="2" s="1"/>
  <c r="F57" i="2"/>
  <c r="F60" i="2"/>
  <c r="F63" i="2" s="1"/>
  <c r="F20" i="2"/>
  <c r="F70" i="2" s="1"/>
  <c r="F71" i="2" s="1"/>
  <c r="G12" i="2"/>
  <c r="H10" i="2"/>
  <c r="H12" i="2" s="1"/>
  <c r="E66" i="2"/>
  <c r="E73" i="2"/>
  <c r="E76" i="2" s="1"/>
  <c r="E101" i="2"/>
  <c r="E107" i="2" s="1"/>
  <c r="E122" i="2"/>
  <c r="E121" i="2"/>
  <c r="E120" i="2"/>
  <c r="G174" i="2" l="1"/>
  <c r="G182" i="2" s="1"/>
  <c r="G95" i="2" s="1"/>
  <c r="H163" i="2"/>
  <c r="G171" i="2"/>
  <c r="F65" i="2"/>
  <c r="F52" i="2"/>
  <c r="F90" i="2" s="1"/>
  <c r="D89" i="2"/>
  <c r="D92" i="2" s="1"/>
  <c r="D97" i="2" s="1"/>
  <c r="E136" i="2"/>
  <c r="H20" i="2"/>
  <c r="H70" i="2" s="1"/>
  <c r="H71" i="2" s="1"/>
  <c r="H57" i="2"/>
  <c r="H60" i="2"/>
  <c r="H63" i="2" s="1"/>
  <c r="D111" i="2"/>
  <c r="D112" i="2" s="1"/>
  <c r="D114" i="2" s="1"/>
  <c r="E83" i="2"/>
  <c r="G20" i="2"/>
  <c r="G70" i="2" s="1"/>
  <c r="G71" i="2" s="1"/>
  <c r="G57" i="2"/>
  <c r="G60" i="2"/>
  <c r="G63" i="2" s="1"/>
  <c r="E77" i="2"/>
  <c r="E78" i="2" s="1"/>
  <c r="F53" i="2"/>
  <c r="F91" i="2" s="1"/>
  <c r="F54" i="2"/>
  <c r="F100" i="2" s="1"/>
  <c r="D3" i="2" l="1"/>
  <c r="H171" i="2"/>
  <c r="H174" i="2"/>
  <c r="H182" i="2" s="1"/>
  <c r="H95" i="2" s="1"/>
  <c r="F121" i="2"/>
  <c r="G65" i="2"/>
  <c r="G52" i="2"/>
  <c r="G90" i="2" s="1"/>
  <c r="G120" i="2" s="1"/>
  <c r="E117" i="2"/>
  <c r="E123" i="2" s="1"/>
  <c r="E135" i="2" s="1"/>
  <c r="E137" i="2" s="1"/>
  <c r="E80" i="2"/>
  <c r="E84" i="2"/>
  <c r="E85" i="2" s="1"/>
  <c r="H53" i="2"/>
  <c r="H91" i="2" s="1"/>
  <c r="H54" i="2"/>
  <c r="H100" i="2" s="1"/>
  <c r="H101" i="2" s="1"/>
  <c r="H107" i="2" s="1"/>
  <c r="H65" i="2"/>
  <c r="H52" i="2"/>
  <c r="H90" i="2" s="1"/>
  <c r="F120" i="2"/>
  <c r="F101" i="2"/>
  <c r="F107" i="2" s="1"/>
  <c r="F122" i="2"/>
  <c r="G54" i="2"/>
  <c r="G100" i="2" s="1"/>
  <c r="G122" i="2" s="1"/>
  <c r="G53" i="2"/>
  <c r="G91" i="2" s="1"/>
  <c r="F66" i="2"/>
  <c r="F73" i="2"/>
  <c r="F76" i="2" s="1"/>
  <c r="H120" i="2" l="1"/>
  <c r="E111" i="2"/>
  <c r="E112" i="2" s="1"/>
  <c r="E114" i="2" s="1"/>
  <c r="F83" i="2"/>
  <c r="G73" i="2"/>
  <c r="G76" i="2" s="1"/>
  <c r="G66" i="2"/>
  <c r="F77" i="2"/>
  <c r="F78" i="2" s="1"/>
  <c r="H73" i="2"/>
  <c r="H76" i="2" s="1"/>
  <c r="H66" i="2"/>
  <c r="H121" i="2"/>
  <c r="G101" i="2"/>
  <c r="G107" i="2" s="1"/>
  <c r="H122" i="2"/>
  <c r="E89" i="2"/>
  <c r="E92" i="2" s="1"/>
  <c r="E97" i="2" s="1"/>
  <c r="F136" i="2"/>
  <c r="G121" i="2"/>
  <c r="E3" i="2" l="1"/>
  <c r="G77" i="2"/>
  <c r="G78" i="2" s="1"/>
  <c r="H77" i="2"/>
  <c r="H78" i="2" s="1"/>
  <c r="F84" i="2"/>
  <c r="F85" i="2" s="1"/>
  <c r="F117" i="2"/>
  <c r="F123" i="2" s="1"/>
  <c r="F135" i="2" s="1"/>
  <c r="F137" i="2" s="1"/>
  <c r="F80" i="2"/>
  <c r="G83" i="2" l="1"/>
  <c r="F111" i="2"/>
  <c r="F112" i="2" s="1"/>
  <c r="F114" i="2" s="1"/>
  <c r="G136" i="2"/>
  <c r="F89" i="2"/>
  <c r="F92" i="2" s="1"/>
  <c r="F97" i="2" s="1"/>
  <c r="H80" i="2"/>
  <c r="H84" i="2"/>
  <c r="H117" i="2"/>
  <c r="H123" i="2" s="1"/>
  <c r="H135" i="2" s="1"/>
  <c r="G80" i="2"/>
  <c r="G84" i="2"/>
  <c r="G117" i="2"/>
  <c r="G123" i="2" s="1"/>
  <c r="G135" i="2" s="1"/>
  <c r="F3" i="2" l="1"/>
  <c r="G137" i="2"/>
  <c r="G85" i="2"/>
  <c r="G111" i="2" l="1"/>
  <c r="G112" i="2" s="1"/>
  <c r="G114" i="2" s="1"/>
  <c r="H83" i="2"/>
  <c r="H85" i="2" s="1"/>
  <c r="H111" i="2" s="1"/>
  <c r="H112" i="2" s="1"/>
  <c r="H114" i="2" s="1"/>
  <c r="H136" i="2"/>
  <c r="H137" i="2" s="1"/>
  <c r="H89" i="2" s="1"/>
  <c r="H92" i="2" s="1"/>
  <c r="H97" i="2" s="1"/>
  <c r="G89" i="2"/>
  <c r="G92" i="2" s="1"/>
  <c r="G97" i="2" s="1"/>
  <c r="H3" i="2" l="1"/>
  <c r="G3" i="2"/>
</calcChain>
</file>

<file path=xl/sharedStrings.xml><?xml version="1.0" encoding="utf-8"?>
<sst xmlns="http://schemas.openxmlformats.org/spreadsheetml/2006/main" count="232" uniqueCount="147">
  <si>
    <t>Project Development Cost</t>
  </si>
  <si>
    <t xml:space="preserve">Factory Building and Other Construction </t>
  </si>
  <si>
    <t xml:space="preserve">Plant &amp; Machinery </t>
  </si>
  <si>
    <t>Furniture &amp; Fixture</t>
  </si>
  <si>
    <t>Office Equipment</t>
  </si>
  <si>
    <t>Factory Equipment</t>
  </si>
  <si>
    <t>Transport and Vehicles</t>
  </si>
  <si>
    <t>Total Project Cost</t>
  </si>
  <si>
    <t>BDT</t>
  </si>
  <si>
    <t>%-Utilization</t>
  </si>
  <si>
    <t>USD/BDT Rate</t>
  </si>
  <si>
    <t>Year-1</t>
  </si>
  <si>
    <t>Year-2</t>
  </si>
  <si>
    <t>Year-3</t>
  </si>
  <si>
    <t>Year-4</t>
  </si>
  <si>
    <t>Year-5</t>
  </si>
  <si>
    <t>Project Financing</t>
  </si>
  <si>
    <t>Debt</t>
  </si>
  <si>
    <t>Equity</t>
  </si>
  <si>
    <t>Tenor</t>
  </si>
  <si>
    <t>Grace Period</t>
  </si>
  <si>
    <t>Interest Rate</t>
  </si>
  <si>
    <t>Year</t>
  </si>
  <si>
    <t>Repayment</t>
  </si>
  <si>
    <t>Sales Rate/Unit (USD)</t>
  </si>
  <si>
    <t>Depreciation Rate</t>
  </si>
  <si>
    <t>Cost of raw material</t>
  </si>
  <si>
    <t>Yearly increment</t>
  </si>
  <si>
    <t>Administrative expense/Month</t>
  </si>
  <si>
    <t>Commercial &amp; marketing Expense</t>
  </si>
  <si>
    <t>2% of the revenue</t>
  </si>
  <si>
    <t xml:space="preserve">Income Tax </t>
  </si>
  <si>
    <t>Capex</t>
  </si>
  <si>
    <t>Debt financing Assumptions</t>
  </si>
  <si>
    <t>Years</t>
  </si>
  <si>
    <t>Equal Yearly Principal Payment after Grace Period</t>
  </si>
  <si>
    <t>Year-0</t>
  </si>
  <si>
    <t>Period</t>
  </si>
  <si>
    <t>USD/BDT depreciation (%)</t>
  </si>
  <si>
    <t>Income statement Assumptions</t>
  </si>
  <si>
    <t>3. Prepare a Loan Schedule</t>
  </si>
  <si>
    <t>4. Prepare an Asset Schedule</t>
  </si>
  <si>
    <t>Factory Overhead/Month</t>
  </si>
  <si>
    <t>Land &amp; Land Development</t>
  </si>
  <si>
    <t>Electrical Equipment &amp; Installation</t>
  </si>
  <si>
    <t>Construction Period</t>
  </si>
  <si>
    <t>2. Prepare Income Statement, Balance Sheet and Cashflow statement for 5 years</t>
  </si>
  <si>
    <t>Balance Sheet Assumptions</t>
  </si>
  <si>
    <t>Days Payable Outstanding (DPO)</t>
  </si>
  <si>
    <t>Days inventory outstanding (DIO)</t>
  </si>
  <si>
    <t>Days Receivables Outstanding (DRO)</t>
  </si>
  <si>
    <t xml:space="preserve">Assignment </t>
  </si>
  <si>
    <t>1. Prepare an Input sheet for all the input assumptions</t>
  </si>
  <si>
    <t>Yearly Capacity (Unit)</t>
  </si>
  <si>
    <t>XYZ Company Ltd</t>
  </si>
  <si>
    <t>BDT in actual figures</t>
  </si>
  <si>
    <t>Assumptions</t>
  </si>
  <si>
    <t>Units</t>
  </si>
  <si>
    <t xml:space="preserve">Total Sales in BDT </t>
  </si>
  <si>
    <t>Months of Operations in Year</t>
  </si>
  <si>
    <t>Y/Y growth</t>
  </si>
  <si>
    <t>Commercial &amp; marketing Expense apos</t>
  </si>
  <si>
    <t xml:space="preserve">Capex </t>
  </si>
  <si>
    <t>Balance Sheet Check</t>
  </si>
  <si>
    <t>Amount in BDT</t>
  </si>
  <si>
    <t>Total</t>
  </si>
  <si>
    <t xml:space="preserve">Total Debt Amount </t>
  </si>
  <si>
    <t xml:space="preserve">Equal Yearly Principal Amount </t>
  </si>
  <si>
    <t xml:space="preserve">Accounts Receivable </t>
  </si>
  <si>
    <t xml:space="preserve">Average  Inventory </t>
  </si>
  <si>
    <t>Accounts Payable</t>
  </si>
  <si>
    <t>Income Statement</t>
  </si>
  <si>
    <t xml:space="preserve">Balance Sheet </t>
  </si>
  <si>
    <t xml:space="preserve">Income Statement </t>
  </si>
  <si>
    <t>Debt Financing Informations</t>
  </si>
  <si>
    <t>Revenue</t>
  </si>
  <si>
    <t>Cost of Goods Sold (COGS)</t>
  </si>
  <si>
    <t>Raw Materials</t>
  </si>
  <si>
    <t>Factory Overhead</t>
  </si>
  <si>
    <t>Total COGS</t>
  </si>
  <si>
    <t xml:space="preserve">Gross Profit </t>
  </si>
  <si>
    <t>Gross Profit Margin(%)</t>
  </si>
  <si>
    <t xml:space="preserve">  Depreciation</t>
  </si>
  <si>
    <t>Operating Expenses</t>
  </si>
  <si>
    <t>Administrative</t>
  </si>
  <si>
    <t>Commercial &amp; Marketing</t>
  </si>
  <si>
    <t>Total Operating Expenses</t>
  </si>
  <si>
    <t>Operating Profit/(EBIT)</t>
  </si>
  <si>
    <t>Interest Expenses</t>
  </si>
  <si>
    <t>EBT</t>
  </si>
  <si>
    <t xml:space="preserve">Taxes </t>
  </si>
  <si>
    <t xml:space="preserve">Net Income </t>
  </si>
  <si>
    <t>Net Profit Margin(%)</t>
  </si>
  <si>
    <t xml:space="preserve">Statement of Retain Earning </t>
  </si>
  <si>
    <t>Opening R/E</t>
  </si>
  <si>
    <t>Net Income</t>
  </si>
  <si>
    <t>Closing R/E</t>
  </si>
  <si>
    <t xml:space="preserve">Supporting Schedule </t>
  </si>
  <si>
    <t xml:space="preserve">Assets Schedule </t>
  </si>
  <si>
    <t xml:space="preserve">Total Assets </t>
  </si>
  <si>
    <t>Total D &amp; A</t>
  </si>
  <si>
    <t xml:space="preserve">Total Accumulated D &amp;A </t>
  </si>
  <si>
    <t xml:space="preserve">Depreciation Schedule </t>
  </si>
  <si>
    <t>Accumulated Depreciation Schedule</t>
  </si>
  <si>
    <t>Net Asset Schedule</t>
  </si>
  <si>
    <t>Net Assests</t>
  </si>
  <si>
    <t xml:space="preserve">Loan Schedule </t>
  </si>
  <si>
    <t>Beginning</t>
  </si>
  <si>
    <t>Less: Payment</t>
  </si>
  <si>
    <t>Loan Balance</t>
  </si>
  <si>
    <t xml:space="preserve">Interest Amount </t>
  </si>
  <si>
    <t xml:space="preserve">Add: New </t>
  </si>
  <si>
    <t>Current Assets</t>
  </si>
  <si>
    <t>Cash</t>
  </si>
  <si>
    <t>Accounts Receivable</t>
  </si>
  <si>
    <t>Total Current Assets</t>
  </si>
  <si>
    <t>Non Current Assets</t>
  </si>
  <si>
    <t>Fixed Assets</t>
  </si>
  <si>
    <t>Total Assets</t>
  </si>
  <si>
    <t>Current Liabilities</t>
  </si>
  <si>
    <t>Total Current Liabilitites</t>
  </si>
  <si>
    <t>Non Current Liabilities</t>
  </si>
  <si>
    <t>Total Non Current Liabilitites</t>
  </si>
  <si>
    <t>Total Liabilitites</t>
  </si>
  <si>
    <t>Equity Investment</t>
  </si>
  <si>
    <t>Retained Earnings</t>
  </si>
  <si>
    <t>Total Equity</t>
  </si>
  <si>
    <t>Total Liabilities &amp; Equity</t>
  </si>
  <si>
    <t xml:space="preserve">   Inventory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</si>
  <si>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</si>
  <si>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</si>
  <si>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</si>
  <si>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</si>
  <si>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</si>
  <si>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</si>
  <si>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</si>
  <si>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</si>
  <si>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Equity Issued</t>
  </si>
  <si>
    <t>Debt Repayment</t>
  </si>
  <si>
    <t>Debt Issued</t>
  </si>
  <si>
    <t>Financing Cash Flow</t>
  </si>
  <si>
    <t>Net Cash Flow</t>
  </si>
  <si>
    <t>Opening Balance of Cash</t>
  </si>
  <si>
    <t>Closing Balance of Cash</t>
  </si>
  <si>
    <t xml:space="preserve">Change in Accounts Receivable </t>
  </si>
  <si>
    <t>Change in Inventory</t>
  </si>
  <si>
    <t xml:space="preserve">Changes in Accounts Payable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</si>
</sst>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Agency FB"/>
      <family val="2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medium">
        <color theme="1" tint="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1" fillId="0" borderId="6" applyFont="0"/>
  </cellStyleXfs>
  <cellXfs count="113">
    <xf numFmtId="0" fontId="0" fillId="0" borderId="0" xfId="0"/>
    <xf numFmtId="0" fontId="3" fillId="0" borderId="0" xfId="0" applyFont="1"/>
    <xf numFmtId="0" fontId="5" fillId="0" borderId="0" xfId="0" applyFont="1"/>
    <xf numFmtId="4" fontId="0" fillId="0" borderId="0" xfId="0" applyNumberFormat="1"/>
    <xf numFmtId="4" fontId="3" fillId="0" borderId="0" xfId="0" applyNumberFormat="1" applyFont="1"/>
    <xf numFmtId="0" fontId="0" fillId="0" borderId="1" xfId="0" applyBorder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3" fontId="3" fillId="0" borderId="2" xfId="0" applyNumberFormat="1" applyFont="1" applyBorder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0" fillId="3" borderId="0" xfId="0" applyFill="1"/>
    <xf numFmtId="164" fontId="0" fillId="0" borderId="2" xfId="0" applyNumberFormat="1" applyBorder="1"/>
    <xf numFmtId="4" fontId="0" fillId="0" borderId="2" xfId="0" applyNumberFormat="1" applyBorder="1"/>
    <xf numFmtId="0" fontId="0" fillId="0" borderId="2" xfId="0" applyBorder="1"/>
    <xf numFmtId="9" fontId="0" fillId="0" borderId="2" xfId="0" applyNumberFormat="1" applyBorder="1"/>
    <xf numFmtId="4" fontId="0" fillId="0" borderId="1" xfId="0" applyNumberFormat="1" applyBorder="1"/>
    <xf numFmtId="4" fontId="0" fillId="0" borderId="3" xfId="0" applyNumberFormat="1" applyBorder="1"/>
    <xf numFmtId="10" fontId="0" fillId="0" borderId="4" xfId="0" applyNumberFormat="1" applyBorder="1"/>
    <xf numFmtId="0" fontId="0" fillId="0" borderId="5" xfId="0" applyBorder="1"/>
    <xf numFmtId="164" fontId="0" fillId="0" borderId="5" xfId="2" applyNumberFormat="1" applyFont="1" applyBorder="1"/>
    <xf numFmtId="164" fontId="0" fillId="0" borderId="2" xfId="2" applyNumberFormat="1" applyFont="1" applyBorder="1"/>
    <xf numFmtId="165" fontId="0" fillId="0" borderId="0" xfId="1" applyNumberFormat="1" applyFont="1"/>
    <xf numFmtId="165" fontId="0" fillId="0" borderId="0" xfId="0" applyNumberFormat="1"/>
    <xf numFmtId="3" fontId="0" fillId="0" borderId="5" xfId="0" applyNumberFormat="1" applyBorder="1"/>
    <xf numFmtId="0" fontId="0" fillId="3" borderId="0" xfId="0" applyFill="1" applyAlignment="1">
      <alignment horizontal="right"/>
    </xf>
    <xf numFmtId="0" fontId="4" fillId="4" borderId="0" xfId="0" applyFont="1" applyFill="1"/>
    <xf numFmtId="0" fontId="0" fillId="4" borderId="0" xfId="0" applyFill="1"/>
    <xf numFmtId="0" fontId="3" fillId="5" borderId="0" xfId="0" applyFont="1" applyFill="1"/>
    <xf numFmtId="0" fontId="7" fillId="0" borderId="0" xfId="0" applyFont="1"/>
    <xf numFmtId="4" fontId="3" fillId="0" borderId="0" xfId="0" applyNumberFormat="1" applyFont="1" applyAlignment="1">
      <alignment horizontal="left"/>
    </xf>
    <xf numFmtId="9" fontId="0" fillId="0" borderId="0" xfId="2" applyFont="1" applyFill="1" applyBorder="1"/>
    <xf numFmtId="0" fontId="3" fillId="0" borderId="7" xfId="0" applyFont="1" applyBorder="1"/>
    <xf numFmtId="3" fontId="8" fillId="0" borderId="0" xfId="0" applyNumberFormat="1" applyFont="1"/>
    <xf numFmtId="164" fontId="8" fillId="0" borderId="0" xfId="0" applyNumberFormat="1" applyFont="1"/>
    <xf numFmtId="10" fontId="8" fillId="0" borderId="0" xfId="0" applyNumberFormat="1" applyFont="1"/>
    <xf numFmtId="9" fontId="8" fillId="0" borderId="0" xfId="0" applyNumberFormat="1" applyFont="1"/>
    <xf numFmtId="0" fontId="8" fillId="0" borderId="0" xfId="0" applyFont="1"/>
    <xf numFmtId="0" fontId="10" fillId="0" borderId="0" xfId="0" applyFont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7" xfId="0" applyFont="1" applyBorder="1"/>
    <xf numFmtId="164" fontId="0" fillId="0" borderId="0" xfId="2" applyNumberFormat="1" applyFont="1"/>
    <xf numFmtId="2" fontId="8" fillId="0" borderId="0" xfId="2" applyNumberFormat="1" applyFont="1"/>
    <xf numFmtId="0" fontId="9" fillId="0" borderId="0" xfId="0" applyFont="1"/>
    <xf numFmtId="0" fontId="11" fillId="0" borderId="0" xfId="0" applyFont="1"/>
    <xf numFmtId="164" fontId="8" fillId="0" borderId="6" xfId="2" applyNumberFormat="1" applyFont="1" applyBorder="1"/>
    <xf numFmtId="4" fontId="0" fillId="0" borderId="6" xfId="3" applyFont="1"/>
    <xf numFmtId="164" fontId="0" fillId="0" borderId="6" xfId="2" applyNumberFormat="1" applyFont="1" applyBorder="1"/>
    <xf numFmtId="165" fontId="8" fillId="0" borderId="0" xfId="1" applyNumberFormat="1" applyFont="1"/>
    <xf numFmtId="165" fontId="0" fillId="0" borderId="0" xfId="1" applyNumberFormat="1" applyFont="1" applyFill="1" applyBorder="1"/>
    <xf numFmtId="9" fontId="3" fillId="0" borderId="0" xfId="2" applyFont="1" applyBorder="1"/>
    <xf numFmtId="3" fontId="3" fillId="0" borderId="0" xfId="0" applyNumberFormat="1" applyFont="1"/>
    <xf numFmtId="4" fontId="8" fillId="0" borderId="6" xfId="3" applyFont="1"/>
    <xf numFmtId="10" fontId="8" fillId="0" borderId="6" xfId="2" applyNumberFormat="1" applyFont="1" applyBorder="1"/>
    <xf numFmtId="165" fontId="3" fillId="0" borderId="0" xfId="1" applyNumberFormat="1" applyFont="1" applyBorder="1"/>
    <xf numFmtId="3" fontId="0" fillId="0" borderId="6" xfId="3" applyNumberFormat="1" applyFont="1"/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7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center"/>
    </xf>
    <xf numFmtId="43" fontId="0" fillId="0" borderId="0" xfId="1" applyFont="1"/>
    <xf numFmtId="38" fontId="10" fillId="0" borderId="0" xfId="0" applyNumberFormat="1" applyFont="1"/>
    <xf numFmtId="38" fontId="10" fillId="0" borderId="0" xfId="0" applyNumberFormat="1" applyFont="1" applyAlignment="1">
      <alignment horizontal="left" indent="1"/>
    </xf>
    <xf numFmtId="165" fontId="10" fillId="0" borderId="0" xfId="1" applyNumberFormat="1" applyFont="1"/>
    <xf numFmtId="0" fontId="12" fillId="0" borderId="0" xfId="0" applyFont="1"/>
    <xf numFmtId="165" fontId="0" fillId="0" borderId="6" xfId="1" applyNumberFormat="1" applyFont="1" applyBorder="1"/>
    <xf numFmtId="0" fontId="10" fillId="5" borderId="0" xfId="0" applyFont="1" applyFill="1"/>
    <xf numFmtId="0" fontId="10" fillId="0" borderId="8" xfId="0" applyFont="1" applyBorder="1" applyAlignment="1">
      <alignment horizontal="left"/>
    </xf>
    <xf numFmtId="165" fontId="10" fillId="0" borderId="0" xfId="1" applyNumberFormat="1" applyFont="1" applyAlignment="1">
      <alignment horizontal="left" indent="1"/>
    </xf>
    <xf numFmtId="165" fontId="0" fillId="0" borderId="0" xfId="1" applyNumberFormat="1" applyFont="1" applyBorder="1"/>
    <xf numFmtId="10" fontId="0" fillId="0" borderId="6" xfId="2" applyNumberFormat="1" applyFont="1" applyBorder="1"/>
    <xf numFmtId="0" fontId="13" fillId="0" borderId="0" xfId="0" applyFont="1" applyAlignment="1">
      <alignment horizontal="left"/>
    </xf>
    <xf numFmtId="0" fontId="14" fillId="0" borderId="0" xfId="0" applyFont="1"/>
    <xf numFmtId="164" fontId="14" fillId="0" borderId="0" xfId="2" applyNumberFormat="1" applyFont="1"/>
    <xf numFmtId="164" fontId="14" fillId="0" borderId="0" xfId="0" applyNumberFormat="1" applyFont="1"/>
    <xf numFmtId="165" fontId="8" fillId="0" borderId="0" xfId="1" applyNumberFormat="1" applyFont="1" applyFill="1" applyBorder="1"/>
    <xf numFmtId="164" fontId="8" fillId="0" borderId="6" xfId="2" applyNumberFormat="1" applyFont="1" applyFill="1" applyBorder="1"/>
    <xf numFmtId="165" fontId="9" fillId="0" borderId="0" xfId="1" applyNumberFormat="1" applyFont="1" applyFill="1" applyBorder="1"/>
    <xf numFmtId="2" fontId="8" fillId="0" borderId="0" xfId="2" applyNumberFormat="1" applyFont="1" applyFill="1" applyBorder="1"/>
    <xf numFmtId="165" fontId="3" fillId="0" borderId="0" xfId="1" applyNumberFormat="1" applyFont="1" applyFill="1" applyBorder="1"/>
    <xf numFmtId="164" fontId="0" fillId="0" borderId="0" xfId="2" applyNumberFormat="1" applyFont="1" applyFill="1" applyBorder="1"/>
    <xf numFmtId="0" fontId="15" fillId="0" borderId="0" xfId="0" applyFont="1"/>
    <xf numFmtId="10" fontId="15" fillId="0" borderId="0" xfId="0" applyNumberFormat="1" applyFont="1"/>
    <xf numFmtId="4" fontId="0" fillId="0" borderId="0" xfId="1" applyNumberFormat="1" applyFont="1" applyFill="1" applyBorder="1"/>
    <xf numFmtId="165" fontId="0" fillId="0" borderId="0" xfId="1" applyNumberFormat="1" applyFont="1" applyAlignment="1"/>
    <xf numFmtId="4" fontId="0" fillId="0" borderId="0" xfId="3" applyFont="1" applyBorder="1"/>
    <xf numFmtId="4" fontId="0" fillId="0" borderId="6" xfId="0" applyNumberFormat="1" applyBorder="1"/>
    <xf numFmtId="0" fontId="0" fillId="0" borderId="6" xfId="0" applyBorder="1"/>
    <xf numFmtId="1" fontId="0" fillId="0" borderId="0" xfId="0" applyNumberFormat="1"/>
    <xf numFmtId="38" fontId="0" fillId="0" borderId="0" xfId="0" applyNumberFormat="1" applyAlignment="1">
      <alignment horizontal="left"/>
    </xf>
    <xf numFmtId="38" fontId="0" fillId="0" borderId="0" xfId="0" applyNumberFormat="1" applyAlignment="1">
      <alignment horizontal="left" indent="1"/>
    </xf>
    <xf numFmtId="43" fontId="0" fillId="0" borderId="0" xfId="0" applyNumberFormat="1"/>
    <xf numFmtId="0" fontId="16" fillId="0" borderId="0" xfId="0" applyFont="1" applyAlignment="1">
      <alignment horizontal="left" indent="1"/>
    </xf>
    <xf numFmtId="4" fontId="16" fillId="0" borderId="6" xfId="3" applyFont="1"/>
    <xf numFmtId="0" fontId="17" fillId="0" borderId="0" xfId="0" applyFont="1"/>
    <xf numFmtId="0" fontId="16" fillId="0" borderId="0" xfId="0" applyFont="1"/>
    <xf numFmtId="4" fontId="17" fillId="0" borderId="6" xfId="3" applyFont="1"/>
    <xf numFmtId="0" fontId="0" fillId="0" borderId="0" xfId="0" applyAlignment="1">
      <alignment horizontal="left" indent="1"/>
    </xf>
    <xf numFmtId="38" fontId="0" fillId="0" borderId="0" xfId="0" applyNumberFormat="1"/>
    <xf numFmtId="38" fontId="3" fillId="0" borderId="0" xfId="0" applyNumberFormat="1" applyFont="1"/>
    <xf numFmtId="38" fontId="3" fillId="0" borderId="0" xfId="0" applyNumberFormat="1" applyFont="1" applyAlignment="1">
      <alignment horizontal="left"/>
    </xf>
    <xf numFmtId="165" fontId="10" fillId="0" borderId="0" xfId="0" applyNumberFormat="1" applyFont="1"/>
    <xf numFmtId="43" fontId="0" fillId="0" borderId="6" xfId="1" applyFont="1" applyBorder="1"/>
    <xf numFmtId="43" fontId="0" fillId="0" borderId="0" xfId="1" applyFont="1" applyBorder="1"/>
    <xf numFmtId="38" fontId="10" fillId="0" borderId="0" xfId="0" applyNumberFormat="1" applyFont="1" applyAlignment="1">
      <alignment horizontal="left"/>
    </xf>
    <xf numFmtId="4" fontId="10" fillId="0" borderId="6" xfId="3" applyFont="1"/>
    <xf numFmtId="4" fontId="14" fillId="0" borderId="6" xfId="3" applyFont="1"/>
    <xf numFmtId="43" fontId="10" fillId="0" borderId="0" xfId="0" applyNumberFormat="1" applyFont="1"/>
    <xf numFmtId="165" fontId="13" fillId="0" borderId="0" xfId="0" applyNumberFormat="1" applyFont="1" applyAlignment="1">
      <alignment horizontal="center"/>
    </xf>
  </cellXfs>
  <cellStyles count="4">
    <cellStyle name="Comma" xfId="1" builtinId="3"/>
    <cellStyle name="HN" xfId="3" xr:uid="{08164E01-3C41-4F3C-A965-43B19B42726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2"/>
  <sheetViews>
    <sheetView showGridLines="0" workbookViewId="0">
      <selection activeCell="H11" sqref="H11"/>
    </sheetView>
  </sheetViews>
  <sheetFormatPr defaultRowHeight="15" x14ac:dyDescent="0.25"/>
  <cols>
    <col min="1" max="1" width="35" bestFit="1" customWidth="1"/>
    <col min="2" max="2" width="15.140625" customWidth="1"/>
    <col min="3" max="3" width="14.42578125" customWidth="1"/>
    <col min="4" max="8" width="13.5703125" bestFit="1" customWidth="1"/>
    <col min="9" max="10" width="9.85546875" bestFit="1" customWidth="1"/>
  </cols>
  <sheetData>
    <row r="2" spans="1:3" x14ac:dyDescent="0.25">
      <c r="A2" s="29" t="s">
        <v>51</v>
      </c>
      <c r="B2" s="30"/>
      <c r="C2" s="30"/>
    </row>
    <row r="3" spans="1:3" x14ac:dyDescent="0.25">
      <c r="A3" t="s">
        <v>52</v>
      </c>
    </row>
    <row r="4" spans="1:3" x14ac:dyDescent="0.25">
      <c r="A4" t="s">
        <v>46</v>
      </c>
    </row>
    <row r="5" spans="1:3" x14ac:dyDescent="0.25">
      <c r="A5" t="s">
        <v>40</v>
      </c>
    </row>
    <row r="6" spans="1:3" x14ac:dyDescent="0.25">
      <c r="A6" t="s">
        <v>41</v>
      </c>
    </row>
    <row r="8" spans="1:3" x14ac:dyDescent="0.25">
      <c r="A8" s="12" t="s">
        <v>32</v>
      </c>
      <c r="B8" s="11"/>
      <c r="C8" s="11"/>
    </row>
    <row r="9" spans="1:3" ht="7.5" customHeight="1" x14ac:dyDescent="0.25"/>
    <row r="10" spans="1:3" x14ac:dyDescent="0.25">
      <c r="A10" s="2" t="s">
        <v>0</v>
      </c>
      <c r="B10" s="1" t="s">
        <v>8</v>
      </c>
      <c r="C10" s="1" t="s">
        <v>25</v>
      </c>
    </row>
    <row r="11" spans="1:3" x14ac:dyDescent="0.25">
      <c r="A11" t="s">
        <v>43</v>
      </c>
      <c r="B11" s="9">
        <v>93177241</v>
      </c>
      <c r="C11" s="7">
        <v>0</v>
      </c>
    </row>
    <row r="12" spans="1:3" x14ac:dyDescent="0.25">
      <c r="A12" t="s">
        <v>1</v>
      </c>
      <c r="B12" s="9">
        <v>209705017</v>
      </c>
      <c r="C12" s="8">
        <v>0.14285714285714285</v>
      </c>
    </row>
    <row r="13" spans="1:3" x14ac:dyDescent="0.25">
      <c r="A13" t="s">
        <v>2</v>
      </c>
      <c r="B13" s="9">
        <v>211805554</v>
      </c>
      <c r="C13" s="8">
        <v>0.14285714285714285</v>
      </c>
    </row>
    <row r="14" spans="1:3" x14ac:dyDescent="0.25">
      <c r="A14" t="s">
        <v>3</v>
      </c>
      <c r="B14" s="9">
        <v>798232</v>
      </c>
      <c r="C14" s="8">
        <v>0.14285714285714285</v>
      </c>
    </row>
    <row r="15" spans="1:3" x14ac:dyDescent="0.25">
      <c r="A15" t="s">
        <v>4</v>
      </c>
      <c r="B15" s="9">
        <v>2016821</v>
      </c>
      <c r="C15" s="8">
        <v>0.14285714285714285</v>
      </c>
    </row>
    <row r="16" spans="1:3" x14ac:dyDescent="0.25">
      <c r="A16" t="s">
        <v>5</v>
      </c>
      <c r="B16" s="9">
        <f>13827915*1.1</f>
        <v>15210706.500000002</v>
      </c>
      <c r="C16" s="8">
        <v>0.14285714285714285</v>
      </c>
    </row>
    <row r="17" spans="1:4" x14ac:dyDescent="0.25">
      <c r="A17" t="s">
        <v>44</v>
      </c>
      <c r="B17" s="9">
        <f>13674772*1.1</f>
        <v>15042249.200000001</v>
      </c>
      <c r="C17" s="8">
        <v>0.14285714285714285</v>
      </c>
    </row>
    <row r="18" spans="1:4" x14ac:dyDescent="0.25">
      <c r="A18" t="s">
        <v>6</v>
      </c>
      <c r="B18" s="9">
        <v>2944400</v>
      </c>
      <c r="C18" s="8">
        <v>0.14285714285714285</v>
      </c>
    </row>
    <row r="19" spans="1:4" x14ac:dyDescent="0.25">
      <c r="A19" s="5" t="s">
        <v>7</v>
      </c>
      <c r="B19" s="10">
        <f>SUM(B11:B18)</f>
        <v>550700220.70000005</v>
      </c>
      <c r="D19" s="3"/>
    </row>
    <row r="20" spans="1:4" x14ac:dyDescent="0.25">
      <c r="D20" s="3"/>
    </row>
    <row r="21" spans="1:4" x14ac:dyDescent="0.25">
      <c r="A21" s="5" t="s">
        <v>45</v>
      </c>
      <c r="B21" s="27">
        <v>1</v>
      </c>
      <c r="C21" s="17" t="s">
        <v>22</v>
      </c>
    </row>
    <row r="23" spans="1:4" x14ac:dyDescent="0.25">
      <c r="A23" s="12" t="s">
        <v>16</v>
      </c>
      <c r="B23" s="11"/>
      <c r="C23" s="11"/>
    </row>
    <row r="24" spans="1:4" x14ac:dyDescent="0.25">
      <c r="A24" t="s">
        <v>17</v>
      </c>
      <c r="B24" s="6">
        <v>0.7</v>
      </c>
    </row>
    <row r="25" spans="1:4" x14ac:dyDescent="0.25">
      <c r="A25" t="s">
        <v>18</v>
      </c>
      <c r="B25" s="6">
        <v>0.3</v>
      </c>
    </row>
    <row r="27" spans="1:4" x14ac:dyDescent="0.25">
      <c r="A27" s="13" t="s">
        <v>33</v>
      </c>
      <c r="B27" s="11"/>
      <c r="C27" s="11"/>
    </row>
    <row r="28" spans="1:4" x14ac:dyDescent="0.25">
      <c r="A28" t="s">
        <v>19</v>
      </c>
      <c r="B28">
        <v>5</v>
      </c>
      <c r="C28" t="s">
        <v>34</v>
      </c>
    </row>
    <row r="29" spans="1:4" x14ac:dyDescent="0.25">
      <c r="A29" t="s">
        <v>20</v>
      </c>
      <c r="B29">
        <v>1</v>
      </c>
      <c r="C29" t="str">
        <f>C28</f>
        <v>Years</v>
      </c>
    </row>
    <row r="30" spans="1:4" x14ac:dyDescent="0.25">
      <c r="A30" t="s">
        <v>21</v>
      </c>
      <c r="B30" s="8">
        <v>9.5000000000000001E-2</v>
      </c>
    </row>
    <row r="31" spans="1:4" x14ac:dyDescent="0.25">
      <c r="A31" t="s">
        <v>23</v>
      </c>
      <c r="B31" s="8" t="s">
        <v>35</v>
      </c>
    </row>
    <row r="33" spans="1:8" x14ac:dyDescent="0.25">
      <c r="A33" s="13" t="s">
        <v>39</v>
      </c>
      <c r="B33" s="11"/>
      <c r="C33" s="11"/>
      <c r="D33" s="11"/>
      <c r="E33" s="11"/>
      <c r="F33" s="11"/>
      <c r="G33" s="11"/>
      <c r="H33" s="11"/>
    </row>
    <row r="35" spans="1:8" x14ac:dyDescent="0.25">
      <c r="A35" s="14" t="s">
        <v>37</v>
      </c>
      <c r="B35" s="14"/>
      <c r="C35" s="28" t="s">
        <v>36</v>
      </c>
      <c r="D35" s="28" t="s">
        <v>11</v>
      </c>
      <c r="E35" s="28" t="s">
        <v>12</v>
      </c>
      <c r="F35" s="28" t="s">
        <v>13</v>
      </c>
      <c r="G35" s="28" t="s">
        <v>14</v>
      </c>
      <c r="H35" s="28" t="s">
        <v>15</v>
      </c>
    </row>
    <row r="36" spans="1:8" x14ac:dyDescent="0.25">
      <c r="A36" s="3" t="s">
        <v>53</v>
      </c>
      <c r="C36">
        <v>0</v>
      </c>
      <c r="D36" s="3">
        <v>1500000</v>
      </c>
      <c r="E36" s="3">
        <v>1500000</v>
      </c>
      <c r="F36" s="3">
        <v>1500000</v>
      </c>
      <c r="G36" s="3">
        <v>1500000</v>
      </c>
      <c r="H36" s="3">
        <v>1500000</v>
      </c>
    </row>
    <row r="37" spans="1:8" x14ac:dyDescent="0.25">
      <c r="A37" s="3" t="s">
        <v>9</v>
      </c>
      <c r="D37" s="7">
        <v>0.8</v>
      </c>
      <c r="E37" s="7">
        <v>0.82000000000000006</v>
      </c>
      <c r="F37" s="7">
        <v>0.84000000000000008</v>
      </c>
      <c r="G37" s="7">
        <v>0.8600000000000001</v>
      </c>
      <c r="H37" s="7">
        <v>0.9</v>
      </c>
    </row>
    <row r="38" spans="1:8" ht="6" customHeight="1" x14ac:dyDescent="0.25"/>
    <row r="39" spans="1:8" x14ac:dyDescent="0.25">
      <c r="A39" s="3" t="s">
        <v>24</v>
      </c>
      <c r="D39" s="3">
        <v>8.3611440000000012</v>
      </c>
      <c r="E39" s="3">
        <v>8.724672</v>
      </c>
      <c r="F39" s="3">
        <v>8.9864121600000022</v>
      </c>
      <c r="G39" s="3">
        <v>9.2560045248000016</v>
      </c>
      <c r="H39" s="3">
        <v>9.5336846605440009</v>
      </c>
    </row>
    <row r="40" spans="1:8" x14ac:dyDescent="0.25">
      <c r="A40" s="19" t="s">
        <v>10</v>
      </c>
      <c r="B40" s="16">
        <v>84.5</v>
      </c>
      <c r="D40" s="3"/>
      <c r="E40" s="3"/>
      <c r="F40" s="3"/>
      <c r="G40" s="3"/>
      <c r="H40" s="3"/>
    </row>
    <row r="41" spans="1:8" x14ac:dyDescent="0.25">
      <c r="A41" s="20" t="s">
        <v>38</v>
      </c>
      <c r="B41" s="21">
        <v>0.02</v>
      </c>
      <c r="D41" s="3"/>
      <c r="E41" s="3"/>
      <c r="F41" s="3"/>
      <c r="G41" s="3"/>
    </row>
    <row r="42" spans="1:8" x14ac:dyDescent="0.25">
      <c r="A42" s="5" t="s">
        <v>26</v>
      </c>
      <c r="B42" s="22"/>
      <c r="C42" s="22"/>
      <c r="D42" s="23">
        <v>0.68</v>
      </c>
      <c r="E42" s="23">
        <f>D42-1.25%</f>
        <v>0.66750000000000009</v>
      </c>
      <c r="F42" s="23">
        <f t="shared" ref="F42:H42" si="0">E42-1.25%</f>
        <v>0.65500000000000014</v>
      </c>
      <c r="G42" s="23">
        <f>F42</f>
        <v>0.65500000000000014</v>
      </c>
      <c r="H42" s="24">
        <f t="shared" si="0"/>
        <v>0.64250000000000018</v>
      </c>
    </row>
    <row r="43" spans="1:8" x14ac:dyDescent="0.25">
      <c r="C43" s="3"/>
    </row>
    <row r="44" spans="1:8" x14ac:dyDescent="0.25">
      <c r="C44" s="3"/>
      <c r="D44" s="25"/>
      <c r="E44" s="25"/>
      <c r="F44" s="25"/>
      <c r="G44" s="25"/>
      <c r="H44" s="25"/>
    </row>
    <row r="45" spans="1:8" x14ac:dyDescent="0.25">
      <c r="A45" s="5" t="s">
        <v>42</v>
      </c>
      <c r="B45" s="16">
        <v>700000</v>
      </c>
      <c r="D45" s="25"/>
      <c r="E45" s="25"/>
      <c r="F45" s="25"/>
      <c r="G45" s="25"/>
      <c r="H45" s="25"/>
    </row>
    <row r="46" spans="1:8" x14ac:dyDescent="0.25">
      <c r="A46" s="5" t="s">
        <v>27</v>
      </c>
      <c r="B46" s="15">
        <v>0.08</v>
      </c>
    </row>
    <row r="48" spans="1:8" x14ac:dyDescent="0.25">
      <c r="A48" s="5" t="s">
        <v>28</v>
      </c>
      <c r="B48" s="16">
        <v>600000</v>
      </c>
    </row>
    <row r="49" spans="1:8" x14ac:dyDescent="0.25">
      <c r="A49" s="5" t="s">
        <v>27</v>
      </c>
      <c r="B49" s="15">
        <v>0.1</v>
      </c>
    </row>
    <row r="50" spans="1:8" x14ac:dyDescent="0.25">
      <c r="A50" s="5"/>
      <c r="B50" s="15"/>
    </row>
    <row r="51" spans="1:8" x14ac:dyDescent="0.25">
      <c r="A51" s="5" t="s">
        <v>29</v>
      </c>
      <c r="B51" s="17" t="s">
        <v>30</v>
      </c>
      <c r="D51" s="25"/>
      <c r="E51" s="25"/>
      <c r="F51" s="25"/>
      <c r="G51" s="25"/>
      <c r="H51" s="26"/>
    </row>
    <row r="52" spans="1:8" x14ac:dyDescent="0.25">
      <c r="A52" s="5" t="s">
        <v>31</v>
      </c>
      <c r="B52" s="18">
        <v>0.25</v>
      </c>
      <c r="C52" s="25"/>
      <c r="D52" s="26"/>
      <c r="E52" s="26"/>
      <c r="F52" s="26"/>
      <c r="G52" s="26"/>
      <c r="H52" s="26"/>
    </row>
    <row r="53" spans="1:8" x14ac:dyDescent="0.25">
      <c r="C53" s="8"/>
    </row>
    <row r="54" spans="1:8" x14ac:dyDescent="0.25">
      <c r="C54" s="8"/>
    </row>
    <row r="55" spans="1:8" x14ac:dyDescent="0.25">
      <c r="A55" s="13" t="s">
        <v>47</v>
      </c>
      <c r="B55" s="11"/>
      <c r="C55" s="11"/>
      <c r="D55" s="11"/>
      <c r="E55" s="11"/>
      <c r="F55" s="11"/>
      <c r="G55" s="11"/>
      <c r="H55" s="11"/>
    </row>
    <row r="56" spans="1:8" x14ac:dyDescent="0.25">
      <c r="C56" s="28" t="s">
        <v>36</v>
      </c>
      <c r="D56" s="28" t="s">
        <v>11</v>
      </c>
      <c r="E56" s="28" t="s">
        <v>12</v>
      </c>
      <c r="F56" s="28" t="s">
        <v>13</v>
      </c>
      <c r="G56" s="28" t="s">
        <v>14</v>
      </c>
      <c r="H56" s="28" t="s">
        <v>15</v>
      </c>
    </row>
    <row r="57" spans="1:8" x14ac:dyDescent="0.25">
      <c r="A57" t="s">
        <v>48</v>
      </c>
      <c r="C57" s="8"/>
      <c r="D57">
        <v>25</v>
      </c>
      <c r="E57">
        <v>25</v>
      </c>
      <c r="F57">
        <v>23</v>
      </c>
      <c r="G57">
        <v>21</v>
      </c>
      <c r="H57">
        <v>20</v>
      </c>
    </row>
    <row r="58" spans="1:8" x14ac:dyDescent="0.25">
      <c r="A58" t="s">
        <v>50</v>
      </c>
      <c r="C58" s="8"/>
      <c r="D58">
        <v>30</v>
      </c>
      <c r="E58">
        <v>30</v>
      </c>
      <c r="F58">
        <v>30</v>
      </c>
      <c r="G58">
        <v>25</v>
      </c>
      <c r="H58">
        <v>25</v>
      </c>
    </row>
    <row r="59" spans="1:8" x14ac:dyDescent="0.25">
      <c r="A59" t="s">
        <v>49</v>
      </c>
      <c r="C59" s="8"/>
      <c r="D59">
        <v>12</v>
      </c>
      <c r="E59">
        <f>D59</f>
        <v>12</v>
      </c>
      <c r="F59">
        <v>10</v>
      </c>
      <c r="G59">
        <f>F59</f>
        <v>10</v>
      </c>
      <c r="H59">
        <f>G59</f>
        <v>10</v>
      </c>
    </row>
    <row r="60" spans="1:8" x14ac:dyDescent="0.25">
      <c r="C60" s="8"/>
    </row>
    <row r="61" spans="1:8" x14ac:dyDescent="0.25">
      <c r="A61" s="32" t="s">
        <v>68</v>
      </c>
    </row>
    <row r="62" spans="1:8" x14ac:dyDescent="0.25">
      <c r="A62" s="32" t="s">
        <v>69</v>
      </c>
    </row>
    <row r="63" spans="1:8" x14ac:dyDescent="0.25">
      <c r="A63" s="32" t="s">
        <v>70</v>
      </c>
    </row>
    <row r="67" spans="1:8" x14ac:dyDescent="0.25">
      <c r="A67" s="4"/>
      <c r="E67" s="9"/>
    </row>
    <row r="68" spans="1:8" x14ac:dyDescent="0.25">
      <c r="D68" s="9"/>
      <c r="E68" s="9"/>
      <c r="F68" s="9"/>
      <c r="G68" s="9"/>
      <c r="H68" s="9"/>
    </row>
    <row r="69" spans="1:8" x14ac:dyDescent="0.25">
      <c r="E69" s="3"/>
      <c r="F69" s="3"/>
      <c r="G69" s="3"/>
      <c r="H69" s="3"/>
    </row>
    <row r="70" spans="1:8" x14ac:dyDescent="0.25">
      <c r="D70" s="9"/>
      <c r="E70" s="9"/>
      <c r="F70" s="9"/>
      <c r="G70" s="9"/>
      <c r="H70" s="9"/>
    </row>
    <row r="71" spans="1:8" x14ac:dyDescent="0.25">
      <c r="D71" s="8"/>
      <c r="E71" s="8"/>
      <c r="F71" s="8"/>
      <c r="G71" s="8"/>
      <c r="H71" s="8"/>
    </row>
    <row r="72" spans="1:8" x14ac:dyDescent="0.25">
      <c r="D72" s="9"/>
      <c r="E72" s="9"/>
      <c r="F72" s="9"/>
      <c r="G72" s="9"/>
      <c r="H72" s="9"/>
    </row>
  </sheetData>
  <phoneticPr fontId="6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130C-FD0B-47E9-BA6C-21462655A66B}">
  <sheetPr>
    <pageSetUpPr fitToPage="1"/>
  </sheetPr>
  <dimension ref="A1:K190"/>
  <sheetViews>
    <sheetView showGridLines="0" tabSelected="1" zoomScale="92" zoomScaleNormal="78" workbookViewId="0">
      <pane xSplit="2" ySplit="3" topLeftCell="C121" activePane="bottomRight" state="frozen"/>
      <selection pane="topRight" activeCell="C1" sqref="C1"/>
      <selection pane="bottomLeft" activeCell="A4" sqref="A4"/>
      <selection pane="bottomRight" activeCell="J19" sqref="J19"/>
    </sheetView>
  </sheetViews>
  <sheetFormatPr defaultRowHeight="15" outlineLevelRow="1" x14ac:dyDescent="0.25"/>
  <cols>
    <col min="1" max="1" width="3.7109375" customWidth="1"/>
    <col min="2" max="2" width="52.5703125" customWidth="1"/>
    <col min="3" max="3" width="14.85546875" bestFit="1" customWidth="1"/>
    <col min="4" max="4" width="17" customWidth="1"/>
    <col min="5" max="8" width="16.85546875" bestFit="1" customWidth="1"/>
  </cols>
  <sheetData>
    <row r="1" spans="2:8" x14ac:dyDescent="0.25">
      <c r="B1" s="60" t="s">
        <v>54</v>
      </c>
      <c r="C1" s="60"/>
      <c r="D1" s="61"/>
      <c r="E1" s="61"/>
      <c r="F1" s="61"/>
      <c r="G1" s="61"/>
      <c r="H1" s="61"/>
    </row>
    <row r="2" spans="2:8" ht="15.75" thickBot="1" x14ac:dyDescent="0.3">
      <c r="B2" s="62" t="s">
        <v>55</v>
      </c>
      <c r="C2" s="62"/>
      <c r="D2" s="63" t="s">
        <v>11</v>
      </c>
      <c r="E2" s="63" t="s">
        <v>12</v>
      </c>
      <c r="F2" s="63" t="s">
        <v>13</v>
      </c>
      <c r="G2" s="63" t="s">
        <v>14</v>
      </c>
      <c r="H2" s="63" t="s">
        <v>15</v>
      </c>
    </row>
    <row r="3" spans="2:8" s="76" customFormat="1" x14ac:dyDescent="0.25">
      <c r="B3" s="75" t="s">
        <v>63</v>
      </c>
      <c r="C3" s="75"/>
      <c r="D3" s="112">
        <f>D97-D114</f>
        <v>0</v>
      </c>
      <c r="E3" s="112">
        <f t="shared" ref="E3:H3" si="0">E97-E114</f>
        <v>0</v>
      </c>
      <c r="F3" s="112">
        <f t="shared" si="0"/>
        <v>0</v>
      </c>
      <c r="G3" s="112">
        <f t="shared" si="0"/>
        <v>0</v>
      </c>
      <c r="H3" s="112">
        <f t="shared" si="0"/>
        <v>0</v>
      </c>
    </row>
    <row r="4" spans="2:8" x14ac:dyDescent="0.25">
      <c r="B4" s="70" t="s">
        <v>56</v>
      </c>
      <c r="C4" s="31"/>
      <c r="D4" s="31"/>
      <c r="E4" s="31"/>
      <c r="F4" s="31"/>
      <c r="G4" s="31"/>
      <c r="H4" s="31"/>
    </row>
    <row r="5" spans="2:8" ht="15.75" outlineLevel="1" thickBot="1" x14ac:dyDescent="0.3">
      <c r="B5" s="42" t="s">
        <v>71</v>
      </c>
      <c r="C5" s="42"/>
      <c r="D5" s="43"/>
      <c r="E5" s="42"/>
      <c r="F5" s="42"/>
      <c r="G5" s="43"/>
      <c r="H5" s="42"/>
    </row>
    <row r="6" spans="2:8" outlineLevel="1" x14ac:dyDescent="0.25">
      <c r="B6" s="3" t="s">
        <v>53</v>
      </c>
      <c r="D6" s="79">
        <v>1500000</v>
      </c>
      <c r="E6" s="52">
        <v>1500000</v>
      </c>
      <c r="F6" s="52">
        <v>1500000</v>
      </c>
      <c r="G6" s="52">
        <v>1500000</v>
      </c>
      <c r="H6" s="52">
        <v>1500000</v>
      </c>
    </row>
    <row r="7" spans="2:8" outlineLevel="1" x14ac:dyDescent="0.25">
      <c r="B7" s="90" t="s">
        <v>9</v>
      </c>
      <c r="C7" s="91"/>
      <c r="D7" s="80">
        <v>0.8</v>
      </c>
      <c r="E7" s="49">
        <v>0.82000000000000006</v>
      </c>
      <c r="F7" s="49">
        <v>0.84000000000000008</v>
      </c>
      <c r="G7" s="49">
        <v>0.8600000000000001</v>
      </c>
      <c r="H7" s="49">
        <v>0.9</v>
      </c>
    </row>
    <row r="8" spans="2:8" s="48" customFormat="1" outlineLevel="1" x14ac:dyDescent="0.25">
      <c r="B8" s="47" t="s">
        <v>57</v>
      </c>
      <c r="C8" s="47"/>
      <c r="D8" s="81">
        <f>D6*D7</f>
        <v>1200000</v>
      </c>
      <c r="E8" s="81">
        <f t="shared" ref="E8:H8" si="1">E6*E7</f>
        <v>1230000</v>
      </c>
      <c r="F8" s="81">
        <f t="shared" si="1"/>
        <v>1260000.0000000002</v>
      </c>
      <c r="G8" s="81">
        <f t="shared" si="1"/>
        <v>1290000.0000000002</v>
      </c>
      <c r="H8" s="81">
        <f t="shared" si="1"/>
        <v>1350000</v>
      </c>
    </row>
    <row r="9" spans="2:8" outlineLevel="1" x14ac:dyDescent="0.25">
      <c r="B9" s="3" t="s">
        <v>24</v>
      </c>
      <c r="D9" s="82">
        <v>8.3611440000000012</v>
      </c>
      <c r="E9" s="46">
        <v>8.724672</v>
      </c>
      <c r="F9" s="46">
        <v>8.9864121600000022</v>
      </c>
      <c r="G9" s="46">
        <v>9.2560045248000016</v>
      </c>
      <c r="H9" s="46">
        <v>9.5336846605440009</v>
      </c>
    </row>
    <row r="10" spans="2:8" outlineLevel="1" x14ac:dyDescent="0.25">
      <c r="B10" s="3" t="s">
        <v>10</v>
      </c>
      <c r="C10" s="3">
        <v>84.5</v>
      </c>
      <c r="D10" s="3">
        <f>C10*(1+D11)</f>
        <v>86.19</v>
      </c>
      <c r="E10" s="3">
        <f t="shared" ref="E10:H10" si="2">D10*(1+E11)</f>
        <v>87.913799999999995</v>
      </c>
      <c r="F10" s="3">
        <f t="shared" si="2"/>
        <v>89.67207599999999</v>
      </c>
      <c r="G10" s="3">
        <f t="shared" si="2"/>
        <v>91.465517519999992</v>
      </c>
      <c r="H10" s="3">
        <f t="shared" si="2"/>
        <v>93.294827870399999</v>
      </c>
    </row>
    <row r="11" spans="2:8" outlineLevel="1" x14ac:dyDescent="0.25">
      <c r="B11" s="50" t="s">
        <v>38</v>
      </c>
      <c r="C11" s="51">
        <v>0.02</v>
      </c>
      <c r="D11" s="49">
        <f>C11</f>
        <v>0.02</v>
      </c>
      <c r="E11" s="49">
        <f t="shared" ref="E11:H11" si="3">D11</f>
        <v>0.02</v>
      </c>
      <c r="F11" s="49">
        <f t="shared" si="3"/>
        <v>0.02</v>
      </c>
      <c r="G11" s="49">
        <f t="shared" si="3"/>
        <v>0.02</v>
      </c>
      <c r="H11" s="49">
        <f t="shared" si="3"/>
        <v>0.02</v>
      </c>
    </row>
    <row r="12" spans="2:8" outlineLevel="1" x14ac:dyDescent="0.25">
      <c r="B12" s="33" t="s">
        <v>58</v>
      </c>
      <c r="C12" s="1"/>
      <c r="D12" s="83">
        <f>D8*D9*D10</f>
        <v>864776401.63200009</v>
      </c>
      <c r="E12" s="83">
        <f t="shared" ref="E12:H12" si="4">E8*E9*E10</f>
        <v>943433455.20652795</v>
      </c>
      <c r="F12" s="83">
        <f t="shared" si="4"/>
        <v>1015346095.065344</v>
      </c>
      <c r="G12" s="83">
        <f t="shared" si="4"/>
        <v>1092120764.7964993</v>
      </c>
      <c r="H12" s="83">
        <f t="shared" si="4"/>
        <v>1200748683.6577692</v>
      </c>
    </row>
    <row r="13" spans="2:8" outlineLevel="1" x14ac:dyDescent="0.25">
      <c r="B13" s="33"/>
      <c r="C13" s="1"/>
      <c r="D13" s="1"/>
    </row>
    <row r="14" spans="2:8" outlineLevel="1" x14ac:dyDescent="0.25">
      <c r="B14" t="s">
        <v>26</v>
      </c>
      <c r="C14" s="41"/>
      <c r="D14" s="84">
        <v>0.68</v>
      </c>
      <c r="E14" s="45">
        <v>0.66750000000000009</v>
      </c>
      <c r="F14" s="45">
        <v>0.65500000000000014</v>
      </c>
      <c r="G14" s="45">
        <v>0.65500000000000014</v>
      </c>
      <c r="H14" s="45">
        <v>0.64250000000000018</v>
      </c>
    </row>
    <row r="15" spans="2:8" outlineLevel="1" x14ac:dyDescent="0.25">
      <c r="B15" t="s">
        <v>59</v>
      </c>
      <c r="C15" s="3">
        <v>12</v>
      </c>
      <c r="D15" s="3"/>
    </row>
    <row r="16" spans="2:8" outlineLevel="1" x14ac:dyDescent="0.25">
      <c r="B16" t="s">
        <v>42</v>
      </c>
      <c r="C16" s="53">
        <v>700000</v>
      </c>
      <c r="D16" s="53">
        <f>C15*C16</f>
        <v>8400000</v>
      </c>
      <c r="E16" s="25">
        <f>D16*(1+$C$17)</f>
        <v>9072000</v>
      </c>
      <c r="F16" s="25">
        <f t="shared" ref="F16:H16" si="5">E16*(1+$C$17)</f>
        <v>9797760</v>
      </c>
      <c r="G16" s="25">
        <f t="shared" si="5"/>
        <v>10581580.800000001</v>
      </c>
      <c r="H16" s="25">
        <f t="shared" si="5"/>
        <v>11428107.264000002</v>
      </c>
    </row>
    <row r="17" spans="2:8" outlineLevel="1" x14ac:dyDescent="0.25">
      <c r="B17" t="s">
        <v>60</v>
      </c>
      <c r="C17" s="7">
        <v>0.08</v>
      </c>
      <c r="D17" s="7"/>
    </row>
    <row r="18" spans="2:8" outlineLevel="1" x14ac:dyDescent="0.25">
      <c r="B18" t="s">
        <v>28</v>
      </c>
      <c r="C18" s="53">
        <v>600000</v>
      </c>
      <c r="D18" s="53">
        <f>C18*C15</f>
        <v>7200000</v>
      </c>
      <c r="E18" s="25">
        <f>D18*(1+$C$19)</f>
        <v>7920000.0000000009</v>
      </c>
      <c r="F18" s="25">
        <f t="shared" ref="F18:H18" si="6">E18*(1+$C$19)</f>
        <v>8712000.0000000019</v>
      </c>
      <c r="G18" s="25">
        <f t="shared" si="6"/>
        <v>9583200.0000000037</v>
      </c>
      <c r="H18" s="25">
        <f t="shared" si="6"/>
        <v>10541520.000000006</v>
      </c>
    </row>
    <row r="19" spans="2:8" outlineLevel="1" x14ac:dyDescent="0.25">
      <c r="B19" t="s">
        <v>27</v>
      </c>
      <c r="C19" s="7">
        <v>0.1</v>
      </c>
      <c r="D19" s="7"/>
    </row>
    <row r="20" spans="2:8" outlineLevel="1" x14ac:dyDescent="0.25">
      <c r="B20" t="s">
        <v>61</v>
      </c>
      <c r="C20" s="34">
        <v>0.02</v>
      </c>
      <c r="D20" s="73">
        <f>D12*$C$20</f>
        <v>17295528.032640003</v>
      </c>
      <c r="E20" s="73">
        <f t="shared" ref="E20:H20" si="7">E12*$C$20</f>
        <v>18868669.104130559</v>
      </c>
      <c r="F20" s="73">
        <f t="shared" si="7"/>
        <v>20306921.901306879</v>
      </c>
      <c r="G20" s="73">
        <f t="shared" si="7"/>
        <v>21842415.295929987</v>
      </c>
      <c r="H20" s="73">
        <f t="shared" si="7"/>
        <v>24014973.673155386</v>
      </c>
    </row>
    <row r="21" spans="2:8" outlineLevel="1" x14ac:dyDescent="0.25">
      <c r="B21" t="s">
        <v>31</v>
      </c>
      <c r="C21" s="39">
        <v>0.25</v>
      </c>
      <c r="D21" s="39">
        <f>C21</f>
        <v>0.25</v>
      </c>
      <c r="E21" s="39">
        <f t="shared" ref="E21:H21" si="8">D21</f>
        <v>0.25</v>
      </c>
      <c r="F21" s="39">
        <f t="shared" si="8"/>
        <v>0.25</v>
      </c>
      <c r="G21" s="39">
        <f t="shared" si="8"/>
        <v>0.25</v>
      </c>
      <c r="H21" s="39">
        <f t="shared" si="8"/>
        <v>0.25</v>
      </c>
    </row>
    <row r="22" spans="2:8" outlineLevel="1" x14ac:dyDescent="0.25">
      <c r="C22" s="6"/>
      <c r="D22" s="6"/>
    </row>
    <row r="23" spans="2:8" ht="15.75" outlineLevel="1" thickBot="1" x14ac:dyDescent="0.3">
      <c r="B23" s="42" t="s">
        <v>62</v>
      </c>
      <c r="C23" s="42"/>
      <c r="D23" s="43"/>
    </row>
    <row r="24" spans="2:8" ht="15.75" outlineLevel="1" thickBot="1" x14ac:dyDescent="0.3">
      <c r="B24" s="44" t="s">
        <v>0</v>
      </c>
      <c r="C24" s="35" t="s">
        <v>8</v>
      </c>
      <c r="D24" s="35" t="s">
        <v>25</v>
      </c>
    </row>
    <row r="25" spans="2:8" outlineLevel="1" x14ac:dyDescent="0.25">
      <c r="B25" t="s">
        <v>43</v>
      </c>
      <c r="C25" s="36">
        <v>93177241</v>
      </c>
      <c r="D25" s="37">
        <v>0</v>
      </c>
    </row>
    <row r="26" spans="2:8" outlineLevel="1" x14ac:dyDescent="0.25">
      <c r="B26" t="s">
        <v>1</v>
      </c>
      <c r="C26" s="36">
        <v>209705017</v>
      </c>
      <c r="D26" s="38">
        <v>0.14285714285714285</v>
      </c>
    </row>
    <row r="27" spans="2:8" outlineLevel="1" x14ac:dyDescent="0.25">
      <c r="B27" t="s">
        <v>2</v>
      </c>
      <c r="C27" s="36">
        <v>211805554</v>
      </c>
      <c r="D27" s="38">
        <v>0.14285714285714285</v>
      </c>
    </row>
    <row r="28" spans="2:8" outlineLevel="1" x14ac:dyDescent="0.25">
      <c r="B28" t="s">
        <v>3</v>
      </c>
      <c r="C28" s="36">
        <v>798232</v>
      </c>
      <c r="D28" s="38">
        <v>0.14285714285714285</v>
      </c>
    </row>
    <row r="29" spans="2:8" outlineLevel="1" x14ac:dyDescent="0.25">
      <c r="B29" t="s">
        <v>4</v>
      </c>
      <c r="C29" s="36">
        <v>2016821</v>
      </c>
      <c r="D29" s="38">
        <v>0.14285714285714285</v>
      </c>
    </row>
    <row r="30" spans="2:8" outlineLevel="1" x14ac:dyDescent="0.25">
      <c r="B30" t="s">
        <v>5</v>
      </c>
      <c r="C30" s="36">
        <f>13827915*1.1</f>
        <v>15210706.500000002</v>
      </c>
      <c r="D30" s="38">
        <v>0.14285714285714285</v>
      </c>
    </row>
    <row r="31" spans="2:8" outlineLevel="1" x14ac:dyDescent="0.25">
      <c r="B31" t="s">
        <v>44</v>
      </c>
      <c r="C31" s="36">
        <f>13674772*1.1</f>
        <v>15042249.200000001</v>
      </c>
      <c r="D31" s="38">
        <v>0.14285714285714285</v>
      </c>
    </row>
    <row r="32" spans="2:8" outlineLevel="1" x14ac:dyDescent="0.25">
      <c r="B32" s="50" t="s">
        <v>6</v>
      </c>
      <c r="C32" s="56">
        <v>2944400</v>
      </c>
      <c r="D32" s="57">
        <v>0.14285714285714285</v>
      </c>
    </row>
    <row r="33" spans="2:8" outlineLevel="1" x14ac:dyDescent="0.25">
      <c r="B33" s="1" t="s">
        <v>7</v>
      </c>
      <c r="C33" s="55">
        <f>SUM(C25:C32)</f>
        <v>550700220.70000005</v>
      </c>
      <c r="D33" s="1"/>
    </row>
    <row r="34" spans="2:8" outlineLevel="1" x14ac:dyDescent="0.25"/>
    <row r="35" spans="2:8" ht="15.75" outlineLevel="1" thickBot="1" x14ac:dyDescent="0.3">
      <c r="B35" s="42" t="s">
        <v>16</v>
      </c>
      <c r="C35" s="42"/>
      <c r="D35" s="43" t="s">
        <v>64</v>
      </c>
    </row>
    <row r="36" spans="2:8" outlineLevel="1" x14ac:dyDescent="0.25">
      <c r="B36" t="s">
        <v>17</v>
      </c>
      <c r="C36" s="39">
        <v>0.7</v>
      </c>
      <c r="D36" s="92">
        <f>C33*C36</f>
        <v>385490154.49000001</v>
      </c>
    </row>
    <row r="37" spans="2:8" outlineLevel="1" x14ac:dyDescent="0.25">
      <c r="B37" s="50" t="s">
        <v>18</v>
      </c>
      <c r="C37" s="56">
        <v>0.3</v>
      </c>
      <c r="D37" s="59">
        <f>C33*C37</f>
        <v>165210066.21000001</v>
      </c>
    </row>
    <row r="38" spans="2:8" outlineLevel="1" x14ac:dyDescent="0.25">
      <c r="B38" s="1" t="s">
        <v>65</v>
      </c>
      <c r="C38" s="54">
        <f>SUM(C36:C37)</f>
        <v>1</v>
      </c>
      <c r="D38" s="58">
        <f>SUM(D36:D37)</f>
        <v>550700220.70000005</v>
      </c>
    </row>
    <row r="39" spans="2:8" outlineLevel="1" x14ac:dyDescent="0.25"/>
    <row r="40" spans="2:8" ht="15.75" outlineLevel="1" thickBot="1" x14ac:dyDescent="0.3">
      <c r="B40" s="42" t="s">
        <v>74</v>
      </c>
      <c r="C40" s="42"/>
      <c r="D40" s="43"/>
    </row>
    <row r="41" spans="2:8" outlineLevel="1" x14ac:dyDescent="0.25">
      <c r="B41" t="s">
        <v>19</v>
      </c>
      <c r="C41" s="85">
        <v>5</v>
      </c>
      <c r="D41" t="s">
        <v>34</v>
      </c>
    </row>
    <row r="42" spans="2:8" outlineLevel="1" x14ac:dyDescent="0.25">
      <c r="B42" t="s">
        <v>20</v>
      </c>
      <c r="C42" s="85">
        <v>1</v>
      </c>
      <c r="D42" t="str">
        <f>D41</f>
        <v>Years</v>
      </c>
    </row>
    <row r="43" spans="2:8" outlineLevel="1" x14ac:dyDescent="0.25">
      <c r="B43" t="s">
        <v>21</v>
      </c>
      <c r="C43" s="86">
        <v>9.5000000000000001E-2</v>
      </c>
    </row>
    <row r="44" spans="2:8" outlineLevel="1" x14ac:dyDescent="0.25">
      <c r="B44" t="s">
        <v>66</v>
      </c>
      <c r="C44" s="53">
        <f>D36</f>
        <v>385490154.49000001</v>
      </c>
      <c r="D44" s="53"/>
    </row>
    <row r="45" spans="2:8" outlineLevel="1" x14ac:dyDescent="0.25">
      <c r="B45" t="s">
        <v>67</v>
      </c>
      <c r="C45" s="87">
        <f>C44/C41</f>
        <v>77098030.898000002</v>
      </c>
    </row>
    <row r="46" spans="2:8" outlineLevel="1" x14ac:dyDescent="0.25"/>
    <row r="47" spans="2:8" ht="15.75" outlineLevel="1" thickBot="1" x14ac:dyDescent="0.3">
      <c r="B47" s="42" t="s">
        <v>72</v>
      </c>
      <c r="C47" s="42"/>
      <c r="D47" s="43"/>
      <c r="E47" s="42"/>
      <c r="F47" s="42"/>
      <c r="G47" s="43"/>
      <c r="H47" s="42"/>
    </row>
    <row r="48" spans="2:8" outlineLevel="1" x14ac:dyDescent="0.25">
      <c r="B48" t="s">
        <v>48</v>
      </c>
      <c r="D48" s="40">
        <v>25</v>
      </c>
      <c r="E48" s="40">
        <v>25</v>
      </c>
      <c r="F48" s="40">
        <v>23</v>
      </c>
      <c r="G48" s="40">
        <v>21</v>
      </c>
      <c r="H48" s="40">
        <v>20</v>
      </c>
    </row>
    <row r="49" spans="2:8" outlineLevel="1" x14ac:dyDescent="0.25">
      <c r="B49" t="s">
        <v>50</v>
      </c>
      <c r="D49" s="40">
        <v>30</v>
      </c>
      <c r="E49" s="40">
        <v>30</v>
      </c>
      <c r="F49" s="40">
        <v>30</v>
      </c>
      <c r="G49" s="40">
        <v>25</v>
      </c>
      <c r="H49" s="40">
        <v>25</v>
      </c>
    </row>
    <row r="50" spans="2:8" outlineLevel="1" x14ac:dyDescent="0.25">
      <c r="B50" t="s">
        <v>49</v>
      </c>
      <c r="D50" s="40">
        <v>12</v>
      </c>
      <c r="E50" s="40">
        <f>D50</f>
        <v>12</v>
      </c>
      <c r="F50" s="40">
        <v>10</v>
      </c>
      <c r="G50" s="40">
        <f>F50</f>
        <v>10</v>
      </c>
      <c r="H50" s="40">
        <f>G50</f>
        <v>10</v>
      </c>
    </row>
    <row r="51" spans="2:8" outlineLevel="1" x14ac:dyDescent="0.25"/>
    <row r="52" spans="2:8" outlineLevel="1" x14ac:dyDescent="0.25">
      <c r="B52" t="s">
        <v>68</v>
      </c>
      <c r="D52" s="25">
        <f>D57/360*D49</f>
        <v>72064700.136000007</v>
      </c>
      <c r="E52" s="25">
        <f t="shared" ref="E52:H52" si="9">E57/360*E49</f>
        <v>78619454.600543991</v>
      </c>
      <c r="F52" s="25">
        <f t="shared" si="9"/>
        <v>84612174.58877866</v>
      </c>
      <c r="G52" s="25">
        <f t="shared" si="9"/>
        <v>75841719.777534664</v>
      </c>
      <c r="H52" s="25">
        <f t="shared" si="9"/>
        <v>83385325.25401175</v>
      </c>
    </row>
    <row r="53" spans="2:8" outlineLevel="1" x14ac:dyDescent="0.25">
      <c r="B53" t="s">
        <v>69</v>
      </c>
      <c r="D53" s="25">
        <f>-D63/360*D50</f>
        <v>22060279.292706288</v>
      </c>
      <c r="E53" s="25">
        <f t="shared" ref="E53:H53" si="10">-E63/360*E50</f>
        <v>23472475.234059539</v>
      </c>
      <c r="F53" s="25">
        <f t="shared" si="10"/>
        <v>20561385.498311918</v>
      </c>
      <c r="G53" s="25">
        <f t="shared" si="10"/>
        <v>21980030.761475991</v>
      </c>
      <c r="H53" s="25">
        <f t="shared" si="10"/>
        <v>23563043.394042931</v>
      </c>
    </row>
    <row r="54" spans="2:8" outlineLevel="1" x14ac:dyDescent="0.25">
      <c r="B54" t="s">
        <v>70</v>
      </c>
      <c r="D54" s="25">
        <f>(-D63+D71)/360*D48</f>
        <v>44257836.857538097</v>
      </c>
      <c r="E54" s="25">
        <f t="shared" ref="E54:H54" si="11">(-E63+E71)/360*E48</f>
        <v>47040665.827614971</v>
      </c>
      <c r="F54" s="25">
        <f t="shared" si="11"/>
        <v>45437199.969089471</v>
      </c>
      <c r="G54" s="25">
        <f t="shared" si="11"/>
        <v>44324903.706836991</v>
      </c>
      <c r="H54" s="25">
        <f t="shared" si="11"/>
        <v>45206281.584021673</v>
      </c>
    </row>
    <row r="56" spans="2:8" x14ac:dyDescent="0.25">
      <c r="B56" s="70" t="s">
        <v>73</v>
      </c>
      <c r="C56" s="31"/>
      <c r="D56" s="31"/>
      <c r="E56" s="31"/>
      <c r="F56" s="31"/>
      <c r="G56" s="31"/>
      <c r="H56" s="31"/>
    </row>
    <row r="57" spans="2:8" outlineLevel="1" x14ac:dyDescent="0.25">
      <c r="B57" s="93" t="s">
        <v>75</v>
      </c>
      <c r="D57" s="25">
        <f>D12</f>
        <v>864776401.63200009</v>
      </c>
      <c r="E57" s="25">
        <f t="shared" ref="E57:H57" si="12">E12</f>
        <v>943433455.20652795</v>
      </c>
      <c r="F57" s="25">
        <f t="shared" si="12"/>
        <v>1015346095.065344</v>
      </c>
      <c r="G57" s="25">
        <f t="shared" si="12"/>
        <v>1092120764.7964993</v>
      </c>
      <c r="H57" s="25">
        <f t="shared" si="12"/>
        <v>1200748683.6577692</v>
      </c>
    </row>
    <row r="58" spans="2:8" outlineLevel="1" x14ac:dyDescent="0.25">
      <c r="B58" s="93"/>
      <c r="D58" s="25"/>
      <c r="E58" s="25"/>
      <c r="F58" s="25"/>
      <c r="G58" s="25"/>
      <c r="H58" s="25"/>
    </row>
    <row r="59" spans="2:8" outlineLevel="1" x14ac:dyDescent="0.25">
      <c r="B59" s="65" t="s">
        <v>76</v>
      </c>
      <c r="D59" s="25"/>
      <c r="E59" s="25"/>
      <c r="F59" s="25"/>
      <c r="G59" s="25"/>
      <c r="H59" s="25"/>
    </row>
    <row r="60" spans="2:8" outlineLevel="1" x14ac:dyDescent="0.25">
      <c r="B60" s="94" t="s">
        <v>77</v>
      </c>
      <c r="D60" s="88">
        <f>-D12*D14</f>
        <v>-588047953.10976005</v>
      </c>
      <c r="E60" s="25">
        <f t="shared" ref="E60:H60" si="13">-E12*E14</f>
        <v>-629741831.35035753</v>
      </c>
      <c r="F60" s="25">
        <f t="shared" si="13"/>
        <v>-665051692.26780045</v>
      </c>
      <c r="G60" s="25">
        <f t="shared" si="13"/>
        <v>-715339100.94170713</v>
      </c>
      <c r="H60" s="25">
        <f t="shared" si="13"/>
        <v>-771481029.25011694</v>
      </c>
    </row>
    <row r="61" spans="2:8" outlineLevel="1" x14ac:dyDescent="0.25">
      <c r="B61" s="94" t="s">
        <v>78</v>
      </c>
      <c r="D61" s="25">
        <f>-D16</f>
        <v>-8400000</v>
      </c>
      <c r="E61" s="25">
        <f t="shared" ref="E61:H61" si="14">-E16</f>
        <v>-9072000</v>
      </c>
      <c r="F61" s="25">
        <f t="shared" si="14"/>
        <v>-9797760</v>
      </c>
      <c r="G61" s="25">
        <f t="shared" si="14"/>
        <v>-10581580.800000001</v>
      </c>
      <c r="H61" s="25">
        <f t="shared" si="14"/>
        <v>-11428107.264000002</v>
      </c>
    </row>
    <row r="62" spans="2:8" outlineLevel="1" x14ac:dyDescent="0.25">
      <c r="B62" s="50" t="s">
        <v>82</v>
      </c>
      <c r="C62" s="50"/>
      <c r="D62" s="69">
        <f>-D160</f>
        <v>-65360425.671428569</v>
      </c>
      <c r="E62" s="69">
        <f t="shared" ref="E62:H62" si="15">-E160</f>
        <v>-65360425.671428569</v>
      </c>
      <c r="F62" s="69">
        <f t="shared" si="15"/>
        <v>-65360425.671428569</v>
      </c>
      <c r="G62" s="69">
        <f t="shared" si="15"/>
        <v>-65360425.671428569</v>
      </c>
      <c r="H62" s="69">
        <f t="shared" si="15"/>
        <v>-65360425.671428569</v>
      </c>
    </row>
    <row r="63" spans="2:8" s="41" customFormat="1" outlineLevel="1" x14ac:dyDescent="0.25">
      <c r="B63" s="66" t="s">
        <v>79</v>
      </c>
      <c r="D63" s="67">
        <f>SUM(D60:D62)</f>
        <v>-661808378.78118861</v>
      </c>
      <c r="E63" s="67">
        <f t="shared" ref="E63:H63" si="16">SUM(E60:E62)</f>
        <v>-704174257.02178609</v>
      </c>
      <c r="F63" s="67">
        <f t="shared" si="16"/>
        <v>-740209877.93922901</v>
      </c>
      <c r="G63" s="67">
        <f t="shared" si="16"/>
        <v>-791281107.41313565</v>
      </c>
      <c r="H63" s="67">
        <f t="shared" si="16"/>
        <v>-848269562.18554556</v>
      </c>
    </row>
    <row r="64" spans="2:8" outlineLevel="1" x14ac:dyDescent="0.25">
      <c r="B64" s="50"/>
      <c r="C64" s="50"/>
      <c r="D64" s="50"/>
      <c r="E64" s="50"/>
      <c r="F64" s="50"/>
      <c r="G64" s="50"/>
      <c r="H64" s="50"/>
    </row>
    <row r="65" spans="1:11" s="41" customFormat="1" outlineLevel="1" x14ac:dyDescent="0.25">
      <c r="B65" s="41" t="s">
        <v>80</v>
      </c>
      <c r="D65" s="67">
        <f>D57+D63</f>
        <v>202968022.85081148</v>
      </c>
      <c r="E65" s="67">
        <f t="shared" ref="E65:H65" si="17">E57+E63</f>
        <v>239259198.18474185</v>
      </c>
      <c r="F65" s="67">
        <f t="shared" si="17"/>
        <v>275136217.12611496</v>
      </c>
      <c r="G65" s="67">
        <f t="shared" si="17"/>
        <v>300839657.3833636</v>
      </c>
      <c r="H65" s="67">
        <f t="shared" si="17"/>
        <v>352479121.47222364</v>
      </c>
    </row>
    <row r="66" spans="1:11" s="68" customFormat="1" outlineLevel="1" x14ac:dyDescent="0.25">
      <c r="A66" s="76"/>
      <c r="B66" s="76" t="s">
        <v>81</v>
      </c>
      <c r="C66" s="76"/>
      <c r="D66" s="77">
        <f>D65/D57</f>
        <v>0.2347057834461852</v>
      </c>
      <c r="E66" s="77">
        <f t="shared" ref="E66:H66" si="18">E65/E57</f>
        <v>0.25360474219388945</v>
      </c>
      <c r="F66" s="77">
        <f t="shared" si="18"/>
        <v>0.27097776655989225</v>
      </c>
      <c r="G66" s="77">
        <f t="shared" si="18"/>
        <v>0.27546372807902858</v>
      </c>
      <c r="H66" s="77">
        <f t="shared" si="18"/>
        <v>0.29354945482720624</v>
      </c>
      <c r="I66" s="78"/>
    </row>
    <row r="67" spans="1:11" outlineLevel="1" x14ac:dyDescent="0.25">
      <c r="D67" s="25"/>
      <c r="E67" s="25"/>
      <c r="F67" s="25"/>
      <c r="G67" s="25"/>
      <c r="H67" s="25"/>
    </row>
    <row r="68" spans="1:11" outlineLevel="1" x14ac:dyDescent="0.25">
      <c r="B68" s="65" t="s">
        <v>83</v>
      </c>
      <c r="D68" s="25"/>
      <c r="E68" s="25"/>
      <c r="F68" s="25"/>
      <c r="G68" s="25"/>
      <c r="H68" s="25"/>
    </row>
    <row r="69" spans="1:11" outlineLevel="1" x14ac:dyDescent="0.25">
      <c r="B69" s="94" t="s">
        <v>84</v>
      </c>
      <c r="D69" s="25">
        <f>-D18</f>
        <v>-7200000</v>
      </c>
      <c r="E69" s="25">
        <f t="shared" ref="E69:H69" si="19">-E18</f>
        <v>-7920000.0000000009</v>
      </c>
      <c r="F69" s="25">
        <f t="shared" si="19"/>
        <v>-8712000.0000000019</v>
      </c>
      <c r="G69" s="25">
        <f t="shared" si="19"/>
        <v>-9583200.0000000037</v>
      </c>
      <c r="H69" s="25">
        <f t="shared" si="19"/>
        <v>-10541520.000000006</v>
      </c>
    </row>
    <row r="70" spans="1:11" outlineLevel="1" x14ac:dyDescent="0.25">
      <c r="B70" s="50" t="s">
        <v>85</v>
      </c>
      <c r="C70" s="50"/>
      <c r="D70" s="69">
        <f>-D20</f>
        <v>-17295528.032640003</v>
      </c>
      <c r="E70" s="69">
        <f t="shared" ref="E70:H70" si="20">-E20</f>
        <v>-18868669.104130559</v>
      </c>
      <c r="F70" s="69">
        <f t="shared" si="20"/>
        <v>-20306921.901306879</v>
      </c>
      <c r="G70" s="69">
        <f t="shared" si="20"/>
        <v>-21842415.295929987</v>
      </c>
      <c r="H70" s="69">
        <f t="shared" si="20"/>
        <v>-24014973.673155386</v>
      </c>
    </row>
    <row r="71" spans="1:11" s="41" customFormat="1" outlineLevel="1" x14ac:dyDescent="0.25">
      <c r="B71" s="66" t="s">
        <v>86</v>
      </c>
      <c r="D71" s="67">
        <f>SUM(D69:D70)</f>
        <v>-24495528.032640003</v>
      </c>
      <c r="E71" s="67">
        <f t="shared" ref="E71:H71" si="21">SUM(E69:E70)</f>
        <v>-26788669.104130559</v>
      </c>
      <c r="F71" s="67">
        <f t="shared" si="21"/>
        <v>-29018921.901306883</v>
      </c>
      <c r="G71" s="67">
        <f t="shared" si="21"/>
        <v>-31425615.295929991</v>
      </c>
      <c r="H71" s="67">
        <f t="shared" si="21"/>
        <v>-34556493.67315539</v>
      </c>
      <c r="I71" s="67"/>
    </row>
    <row r="72" spans="1:11" outlineLevel="1" x14ac:dyDescent="0.25">
      <c r="B72" s="50"/>
      <c r="C72" s="50"/>
      <c r="D72" s="50"/>
      <c r="E72" s="50"/>
      <c r="F72" s="50"/>
      <c r="G72" s="50"/>
      <c r="H72" s="50"/>
    </row>
    <row r="73" spans="1:11" s="41" customFormat="1" outlineLevel="1" x14ac:dyDescent="0.25">
      <c r="B73" s="66" t="s">
        <v>87</v>
      </c>
      <c r="D73" s="67">
        <f>D65+D71</f>
        <v>178472494.81817147</v>
      </c>
      <c r="E73" s="67">
        <f t="shared" ref="E73:H73" si="22">E65+E71</f>
        <v>212470529.08061129</v>
      </c>
      <c r="F73" s="67">
        <f t="shared" si="22"/>
        <v>246117295.2248081</v>
      </c>
      <c r="G73" s="67">
        <f t="shared" si="22"/>
        <v>269414042.08743364</v>
      </c>
      <c r="H73" s="67">
        <f t="shared" si="22"/>
        <v>317922627.79906827</v>
      </c>
      <c r="I73" s="67"/>
    </row>
    <row r="74" spans="1:11" outlineLevel="1" x14ac:dyDescent="0.25">
      <c r="D74" s="25"/>
      <c r="E74" s="25"/>
      <c r="F74" s="25"/>
      <c r="G74" s="25"/>
      <c r="H74" s="25"/>
    </row>
    <row r="75" spans="1:11" outlineLevel="1" x14ac:dyDescent="0.25">
      <c r="B75" s="50" t="s">
        <v>88</v>
      </c>
      <c r="C75" s="50"/>
      <c r="D75" s="69">
        <f>-D190</f>
        <v>-32959408.208895002</v>
      </c>
      <c r="E75" s="69">
        <f t="shared" ref="E75:H75" si="23">-E190</f>
        <v>-25635095.273584999</v>
      </c>
      <c r="F75" s="69">
        <f t="shared" si="23"/>
        <v>-18310782.338275</v>
      </c>
      <c r="G75" s="69">
        <f t="shared" si="23"/>
        <v>-10986469.402965</v>
      </c>
      <c r="H75" s="69">
        <f t="shared" si="23"/>
        <v>-3662156.4676550003</v>
      </c>
    </row>
    <row r="76" spans="1:11" s="41" customFormat="1" outlineLevel="1" x14ac:dyDescent="0.25">
      <c r="B76" s="66" t="s">
        <v>89</v>
      </c>
      <c r="D76" s="67">
        <f>D73+D75</f>
        <v>145513086.60927647</v>
      </c>
      <c r="E76" s="67">
        <f t="shared" ref="E76:H76" si="24">E73+E75</f>
        <v>186835433.8070263</v>
      </c>
      <c r="F76" s="67">
        <f t="shared" si="24"/>
        <v>227806512.88653308</v>
      </c>
      <c r="G76" s="67">
        <f t="shared" si="24"/>
        <v>258427572.68446863</v>
      </c>
      <c r="H76" s="67">
        <f t="shared" si="24"/>
        <v>314260471.33141327</v>
      </c>
      <c r="I76" s="67"/>
    </row>
    <row r="77" spans="1:11" outlineLevel="1" x14ac:dyDescent="0.25">
      <c r="A77" s="89"/>
      <c r="B77" s="69" t="s">
        <v>90</v>
      </c>
      <c r="C77" s="69"/>
      <c r="D77" s="69">
        <f>-D76*D21</f>
        <v>-36378271.652319118</v>
      </c>
      <c r="E77" s="69">
        <f t="shared" ref="E77:H77" si="25">-E76*E21</f>
        <v>-46708858.451756574</v>
      </c>
      <c r="F77" s="69">
        <f t="shared" si="25"/>
        <v>-56951628.22163327</v>
      </c>
      <c r="G77" s="69">
        <f t="shared" si="25"/>
        <v>-64606893.171117157</v>
      </c>
      <c r="H77" s="69">
        <f t="shared" si="25"/>
        <v>-78565117.832853317</v>
      </c>
      <c r="K77" s="26"/>
    </row>
    <row r="78" spans="1:11" s="41" customFormat="1" outlineLevel="1" x14ac:dyDescent="0.25">
      <c r="B78" s="66" t="s">
        <v>91</v>
      </c>
      <c r="D78" s="67">
        <f>D76+D77</f>
        <v>109134814.95695736</v>
      </c>
      <c r="E78" s="67">
        <f t="shared" ref="E78:H78" si="26">E76+E77</f>
        <v>140126575.35526973</v>
      </c>
      <c r="F78" s="67">
        <f t="shared" si="26"/>
        <v>170854884.66489983</v>
      </c>
      <c r="G78" s="67">
        <f t="shared" si="26"/>
        <v>193820679.51335147</v>
      </c>
      <c r="H78" s="67">
        <f t="shared" si="26"/>
        <v>235695353.49855995</v>
      </c>
      <c r="I78" s="67"/>
    </row>
    <row r="79" spans="1:11" s="41" customFormat="1" outlineLevel="1" x14ac:dyDescent="0.25">
      <c r="B79" s="66"/>
      <c r="D79" s="67"/>
      <c r="E79" s="67"/>
      <c r="F79" s="67"/>
      <c r="G79" s="67"/>
      <c r="H79" s="67"/>
      <c r="I79" s="67"/>
    </row>
    <row r="80" spans="1:11" s="68" customFormat="1" outlineLevel="1" x14ac:dyDescent="0.25">
      <c r="A80" s="76"/>
      <c r="B80" s="76" t="s">
        <v>92</v>
      </c>
      <c r="C80" s="76"/>
      <c r="D80" s="77">
        <f>D78/D57</f>
        <v>0.12620003824225415</v>
      </c>
      <c r="E80" s="77">
        <f t="shared" ref="E80:H80" si="27">E78/E57</f>
        <v>0.14852830857539867</v>
      </c>
      <c r="F80" s="77">
        <f t="shared" si="27"/>
        <v>0.16827255799304988</v>
      </c>
      <c r="G80" s="77">
        <f t="shared" si="27"/>
        <v>0.1774718380613037</v>
      </c>
      <c r="H80" s="77">
        <f t="shared" si="27"/>
        <v>0.19629032844789404</v>
      </c>
      <c r="I80" s="76"/>
    </row>
    <row r="81" spans="2:9" outlineLevel="1" x14ac:dyDescent="0.25"/>
    <row r="82" spans="2:9" ht="15.75" outlineLevel="1" thickBot="1" x14ac:dyDescent="0.3">
      <c r="B82" s="42" t="s">
        <v>93</v>
      </c>
      <c r="C82" s="42"/>
      <c r="D82" s="43"/>
      <c r="E82" s="42"/>
      <c r="F82" s="42"/>
      <c r="G82" s="43"/>
      <c r="H82" s="42"/>
    </row>
    <row r="83" spans="2:9" outlineLevel="1" x14ac:dyDescent="0.25">
      <c r="B83" s="93" t="s">
        <v>94</v>
      </c>
      <c r="D83" s="64">
        <v>0</v>
      </c>
      <c r="E83" s="95">
        <f>D85</f>
        <v>109134814.95695736</v>
      </c>
      <c r="F83" s="95">
        <f t="shared" ref="F83:H83" si="28">E85</f>
        <v>249261390.31222707</v>
      </c>
      <c r="G83" s="95">
        <f t="shared" si="28"/>
        <v>420116274.9771269</v>
      </c>
      <c r="H83" s="95">
        <f t="shared" si="28"/>
        <v>613936954.4904784</v>
      </c>
    </row>
    <row r="84" spans="2:9" outlineLevel="1" x14ac:dyDescent="0.25">
      <c r="B84" s="69" t="s">
        <v>95</v>
      </c>
      <c r="C84" s="69"/>
      <c r="D84" s="69">
        <f>D78</f>
        <v>109134814.95695736</v>
      </c>
      <c r="E84" s="69">
        <f>E78</f>
        <v>140126575.35526973</v>
      </c>
      <c r="F84" s="69">
        <f t="shared" ref="F84:H84" si="29">F78</f>
        <v>170854884.66489983</v>
      </c>
      <c r="G84" s="69">
        <f t="shared" si="29"/>
        <v>193820679.51335147</v>
      </c>
      <c r="H84" s="69">
        <f t="shared" si="29"/>
        <v>235695353.49855995</v>
      </c>
    </row>
    <row r="85" spans="2:9" s="41" customFormat="1" outlineLevel="1" x14ac:dyDescent="0.25">
      <c r="B85" s="66" t="s">
        <v>96</v>
      </c>
      <c r="D85" s="67">
        <f>SUM(D83:D84)</f>
        <v>109134814.95695736</v>
      </c>
      <c r="E85" s="67">
        <f>SUM(E83:E84)</f>
        <v>249261390.31222707</v>
      </c>
      <c r="F85" s="67">
        <f t="shared" ref="F85:H85" si="30">SUM(F83:F84)</f>
        <v>420116274.9771269</v>
      </c>
      <c r="G85" s="67">
        <f t="shared" si="30"/>
        <v>613936954.4904784</v>
      </c>
      <c r="H85" s="67">
        <f t="shared" si="30"/>
        <v>849632307.98903835</v>
      </c>
      <c r="I85" s="67"/>
    </row>
    <row r="86" spans="2:9" s="41" customFormat="1" x14ac:dyDescent="0.25">
      <c r="B86" s="66"/>
      <c r="D86" s="67"/>
      <c r="E86" s="67"/>
      <c r="F86" s="67"/>
      <c r="G86" s="67"/>
      <c r="H86" s="67"/>
      <c r="I86" s="67"/>
    </row>
    <row r="87" spans="2:9" x14ac:dyDescent="0.25">
      <c r="B87" s="70" t="s">
        <v>72</v>
      </c>
      <c r="C87" s="31"/>
      <c r="D87" s="31"/>
      <c r="E87" s="31"/>
      <c r="F87" s="31"/>
      <c r="G87" s="31"/>
      <c r="H87" s="31"/>
    </row>
    <row r="88" spans="2:9" outlineLevel="1" x14ac:dyDescent="0.25">
      <c r="B88" s="65" t="s">
        <v>112</v>
      </c>
      <c r="D88" s="25"/>
      <c r="E88" s="25"/>
      <c r="F88" s="25"/>
      <c r="G88" s="25"/>
      <c r="H88" s="25"/>
    </row>
    <row r="89" spans="2:9" outlineLevel="1" x14ac:dyDescent="0.25">
      <c r="B89" s="96" t="s">
        <v>113</v>
      </c>
      <c r="D89" s="25">
        <f>D137</f>
        <v>47530067.159217745</v>
      </c>
      <c r="E89" s="25">
        <f t="shared" ref="E89:H89" si="31">E137</f>
        <v>170734915.85209563</v>
      </c>
      <c r="F89" s="25">
        <f t="shared" si="31"/>
        <v>325167099.17941141</v>
      </c>
      <c r="G89" s="25">
        <f t="shared" si="31"/>
        <v>513489686.75201887</v>
      </c>
      <c r="H89" s="25">
        <f t="shared" si="31"/>
        <v>729202194.79214811</v>
      </c>
    </row>
    <row r="90" spans="2:9" outlineLevel="1" x14ac:dyDescent="0.25">
      <c r="B90" s="96" t="s">
        <v>114</v>
      </c>
      <c r="D90" s="25">
        <f>D52</f>
        <v>72064700.136000007</v>
      </c>
      <c r="E90" s="25">
        <f t="shared" ref="E90:H90" si="32">E52</f>
        <v>78619454.600543991</v>
      </c>
      <c r="F90" s="25">
        <f t="shared" si="32"/>
        <v>84612174.58877866</v>
      </c>
      <c r="G90" s="25">
        <f t="shared" si="32"/>
        <v>75841719.777534664</v>
      </c>
      <c r="H90" s="25">
        <f t="shared" si="32"/>
        <v>83385325.25401175</v>
      </c>
    </row>
    <row r="91" spans="2:9" outlineLevel="1" x14ac:dyDescent="0.25">
      <c r="B91" s="97" t="s">
        <v>128</v>
      </c>
      <c r="C91" s="50"/>
      <c r="D91" s="69">
        <f>D53</f>
        <v>22060279.292706288</v>
      </c>
      <c r="E91" s="69">
        <f t="shared" ref="E91:H91" si="33">E53</f>
        <v>23472475.234059539</v>
      </c>
      <c r="F91" s="69">
        <f t="shared" si="33"/>
        <v>20561385.498311918</v>
      </c>
      <c r="G91" s="69">
        <f t="shared" si="33"/>
        <v>21980030.761475991</v>
      </c>
      <c r="H91" s="69">
        <f t="shared" si="33"/>
        <v>23563043.394042931</v>
      </c>
    </row>
    <row r="92" spans="2:9" s="41" customFormat="1" outlineLevel="1" x14ac:dyDescent="0.25">
      <c r="B92" s="66" t="s">
        <v>115</v>
      </c>
      <c r="D92" s="67">
        <f>SUM(D89:D91)</f>
        <v>141655046.58792403</v>
      </c>
      <c r="E92" s="67">
        <f t="shared" ref="E92:H92" si="34">SUM(E89:E91)</f>
        <v>272826845.68669915</v>
      </c>
      <c r="F92" s="67">
        <f t="shared" si="34"/>
        <v>430340659.26650202</v>
      </c>
      <c r="G92" s="67">
        <f t="shared" si="34"/>
        <v>611311437.29102957</v>
      </c>
      <c r="H92" s="67">
        <f t="shared" si="34"/>
        <v>836150563.44020283</v>
      </c>
      <c r="I92" s="67"/>
    </row>
    <row r="93" spans="2:9" outlineLevel="1" x14ac:dyDescent="0.25">
      <c r="B93" s="98"/>
      <c r="D93" s="25"/>
      <c r="E93" s="25"/>
      <c r="F93" s="25"/>
      <c r="G93" s="25"/>
      <c r="H93" s="25"/>
    </row>
    <row r="94" spans="2:9" outlineLevel="1" x14ac:dyDescent="0.25">
      <c r="B94" s="65" t="s">
        <v>116</v>
      </c>
      <c r="D94" s="25"/>
      <c r="E94" s="25"/>
      <c r="F94" s="25"/>
      <c r="G94" s="25"/>
      <c r="H94" s="25"/>
    </row>
    <row r="95" spans="2:9" outlineLevel="1" x14ac:dyDescent="0.25">
      <c r="B95" s="96" t="s">
        <v>117</v>
      </c>
      <c r="D95" s="25">
        <f>D182</f>
        <v>485339795.02857143</v>
      </c>
      <c r="E95" s="25">
        <f t="shared" ref="E95:H95" si="35">E182</f>
        <v>419979369.35714287</v>
      </c>
      <c r="F95" s="25">
        <f t="shared" si="35"/>
        <v>354618943.68571424</v>
      </c>
      <c r="G95" s="25">
        <f t="shared" si="35"/>
        <v>289258518.01428574</v>
      </c>
      <c r="H95" s="25">
        <f t="shared" si="35"/>
        <v>223898092.34285715</v>
      </c>
    </row>
    <row r="96" spans="2:9" outlineLevel="1" x14ac:dyDescent="0.25">
      <c r="B96" s="97"/>
      <c r="C96" s="50"/>
      <c r="D96" s="69"/>
      <c r="E96" s="69"/>
      <c r="F96" s="69"/>
      <c r="G96" s="69"/>
      <c r="H96" s="69"/>
    </row>
    <row r="97" spans="2:9" s="41" customFormat="1" outlineLevel="1" x14ac:dyDescent="0.25">
      <c r="B97" s="66" t="s">
        <v>118</v>
      </c>
      <c r="D97" s="67">
        <f>D92+D95</f>
        <v>626994841.61649549</v>
      </c>
      <c r="E97" s="67">
        <f t="shared" ref="E97:H97" si="36">E92+E95</f>
        <v>692806215.04384208</v>
      </c>
      <c r="F97" s="67">
        <f t="shared" si="36"/>
        <v>784959602.95221627</v>
      </c>
      <c r="G97" s="67">
        <f t="shared" si="36"/>
        <v>900569955.30531526</v>
      </c>
      <c r="H97" s="67">
        <f t="shared" si="36"/>
        <v>1060048655.78306</v>
      </c>
      <c r="I97" s="67"/>
    </row>
    <row r="98" spans="2:9" outlineLevel="1" x14ac:dyDescent="0.25">
      <c r="B98" s="99"/>
      <c r="D98" s="25"/>
      <c r="E98" s="25"/>
      <c r="F98" s="25"/>
      <c r="G98" s="25"/>
      <c r="H98" s="25"/>
    </row>
    <row r="99" spans="2:9" outlineLevel="1" x14ac:dyDescent="0.25">
      <c r="B99" s="65" t="s">
        <v>119</v>
      </c>
      <c r="D99" s="25"/>
      <c r="E99" s="25"/>
      <c r="F99" s="25"/>
      <c r="G99" s="25"/>
      <c r="H99" s="25"/>
    </row>
    <row r="100" spans="2:9" outlineLevel="1" x14ac:dyDescent="0.25">
      <c r="B100" s="97" t="s">
        <v>70</v>
      </c>
      <c r="C100" s="50"/>
      <c r="D100" s="69">
        <f>D54</f>
        <v>44257836.857538097</v>
      </c>
      <c r="E100" s="69">
        <f t="shared" ref="E100:H100" si="37">E54</f>
        <v>47040665.827614971</v>
      </c>
      <c r="F100" s="69">
        <f t="shared" si="37"/>
        <v>45437199.969089471</v>
      </c>
      <c r="G100" s="69">
        <f t="shared" si="37"/>
        <v>44324903.706836991</v>
      </c>
      <c r="H100" s="69">
        <f t="shared" si="37"/>
        <v>45206281.584021673</v>
      </c>
    </row>
    <row r="101" spans="2:9" s="41" customFormat="1" outlineLevel="1" x14ac:dyDescent="0.25">
      <c r="B101" s="66" t="s">
        <v>120</v>
      </c>
      <c r="D101" s="67">
        <f>SUM(D100)</f>
        <v>44257836.857538097</v>
      </c>
      <c r="E101" s="67">
        <f t="shared" ref="E101:H101" si="38">SUM(E100)</f>
        <v>47040665.827614971</v>
      </c>
      <c r="F101" s="67">
        <f t="shared" si="38"/>
        <v>45437199.969089471</v>
      </c>
      <c r="G101" s="67">
        <f t="shared" si="38"/>
        <v>44324903.706836991</v>
      </c>
      <c r="H101" s="67">
        <f t="shared" si="38"/>
        <v>45206281.584021673</v>
      </c>
      <c r="I101" s="67"/>
    </row>
    <row r="102" spans="2:9" outlineLevel="1" x14ac:dyDescent="0.25">
      <c r="B102" s="98"/>
      <c r="D102" s="25"/>
      <c r="E102" s="25"/>
      <c r="F102" s="25"/>
      <c r="G102" s="25"/>
      <c r="H102" s="25"/>
    </row>
    <row r="103" spans="2:9" outlineLevel="1" x14ac:dyDescent="0.25">
      <c r="B103" s="65" t="s">
        <v>121</v>
      </c>
      <c r="D103" s="25"/>
      <c r="E103" s="25"/>
      <c r="F103" s="25"/>
      <c r="G103" s="25"/>
      <c r="H103" s="25"/>
    </row>
    <row r="104" spans="2:9" outlineLevel="1" x14ac:dyDescent="0.25">
      <c r="B104" s="97" t="s">
        <v>17</v>
      </c>
      <c r="C104" s="50"/>
      <c r="D104" s="69">
        <f>D188</f>
        <v>308392123.59200001</v>
      </c>
      <c r="E104" s="69">
        <f t="shared" ref="E104:H104" si="39">E188</f>
        <v>231294092.69400001</v>
      </c>
      <c r="F104" s="69">
        <f t="shared" si="39"/>
        <v>154196061.796</v>
      </c>
      <c r="G104" s="69">
        <f t="shared" si="39"/>
        <v>77098030.898000002</v>
      </c>
      <c r="H104" s="69">
        <f t="shared" si="39"/>
        <v>0</v>
      </c>
    </row>
    <row r="105" spans="2:9" s="41" customFormat="1" outlineLevel="1" x14ac:dyDescent="0.25">
      <c r="B105" s="66" t="s">
        <v>122</v>
      </c>
      <c r="D105" s="67">
        <f>SUM(D104)</f>
        <v>308392123.59200001</v>
      </c>
      <c r="E105" s="67">
        <f t="shared" ref="E105:H105" si="40">SUM(E104)</f>
        <v>231294092.69400001</v>
      </c>
      <c r="F105" s="67">
        <f t="shared" si="40"/>
        <v>154196061.796</v>
      </c>
      <c r="G105" s="67">
        <f t="shared" si="40"/>
        <v>77098030.898000002</v>
      </c>
      <c r="H105" s="67">
        <f t="shared" si="40"/>
        <v>0</v>
      </c>
      <c r="I105" s="67"/>
    </row>
    <row r="106" spans="2:9" outlineLevel="1" x14ac:dyDescent="0.25">
      <c r="B106" s="100"/>
      <c r="C106" s="50"/>
      <c r="D106" s="69"/>
      <c r="E106" s="69"/>
      <c r="F106" s="69"/>
      <c r="G106" s="69"/>
      <c r="H106" s="69"/>
    </row>
    <row r="107" spans="2:9" s="41" customFormat="1" outlineLevel="1" x14ac:dyDescent="0.25">
      <c r="B107" s="66" t="s">
        <v>123</v>
      </c>
      <c r="D107" s="67">
        <f>D101+D105</f>
        <v>352649960.44953811</v>
      </c>
      <c r="E107" s="67">
        <f t="shared" ref="E107:H107" si="41">E101+E105</f>
        <v>278334758.52161497</v>
      </c>
      <c r="F107" s="67">
        <f t="shared" si="41"/>
        <v>199633261.76508948</v>
      </c>
      <c r="G107" s="67">
        <f t="shared" si="41"/>
        <v>121422934.604837</v>
      </c>
      <c r="H107" s="67">
        <f t="shared" si="41"/>
        <v>45206281.584021673</v>
      </c>
      <c r="I107" s="67"/>
    </row>
    <row r="108" spans="2:9" outlineLevel="1" x14ac:dyDescent="0.25">
      <c r="B108" s="98"/>
      <c r="D108" s="25"/>
      <c r="E108" s="25"/>
      <c r="F108" s="25"/>
      <c r="G108" s="25"/>
      <c r="H108" s="25"/>
    </row>
    <row r="109" spans="2:9" outlineLevel="1" x14ac:dyDescent="0.25">
      <c r="B109" s="65" t="s">
        <v>18</v>
      </c>
      <c r="D109" s="25"/>
      <c r="E109" s="25"/>
      <c r="F109" s="25"/>
      <c r="G109" s="25"/>
      <c r="H109" s="25"/>
    </row>
    <row r="110" spans="2:9" outlineLevel="1" x14ac:dyDescent="0.25">
      <c r="B110" s="96" t="s">
        <v>124</v>
      </c>
      <c r="D110" s="25">
        <f>$D$37</f>
        <v>165210066.21000001</v>
      </c>
      <c r="E110" s="25">
        <f t="shared" ref="E110:H110" si="42">$D$37</f>
        <v>165210066.21000001</v>
      </c>
      <c r="F110" s="25">
        <f t="shared" si="42"/>
        <v>165210066.21000001</v>
      </c>
      <c r="G110" s="25">
        <f t="shared" si="42"/>
        <v>165210066.21000001</v>
      </c>
      <c r="H110" s="25">
        <f t="shared" si="42"/>
        <v>165210066.21000001</v>
      </c>
    </row>
    <row r="111" spans="2:9" outlineLevel="1" x14ac:dyDescent="0.25">
      <c r="B111" s="97" t="s">
        <v>125</v>
      </c>
      <c r="C111" s="50"/>
      <c r="D111" s="69">
        <f>D85</f>
        <v>109134814.95695736</v>
      </c>
      <c r="E111" s="69">
        <f t="shared" ref="E111:H111" si="43">E85</f>
        <v>249261390.31222707</v>
      </c>
      <c r="F111" s="69">
        <f t="shared" si="43"/>
        <v>420116274.9771269</v>
      </c>
      <c r="G111" s="69">
        <f t="shared" si="43"/>
        <v>613936954.4904784</v>
      </c>
      <c r="H111" s="69">
        <f t="shared" si="43"/>
        <v>849632307.98903835</v>
      </c>
    </row>
    <row r="112" spans="2:9" s="41" customFormat="1" outlineLevel="1" x14ac:dyDescent="0.25">
      <c r="B112" s="66" t="s">
        <v>126</v>
      </c>
      <c r="D112" s="67">
        <f>SUM(D110:D111)</f>
        <v>274344881.16695738</v>
      </c>
      <c r="E112" s="67">
        <f t="shared" ref="E112:H112" si="44">SUM(E110:E111)</f>
        <v>414471456.52222705</v>
      </c>
      <c r="F112" s="67">
        <f t="shared" si="44"/>
        <v>585326341.18712687</v>
      </c>
      <c r="G112" s="67">
        <f t="shared" si="44"/>
        <v>779147020.70047843</v>
      </c>
      <c r="H112" s="67">
        <f t="shared" si="44"/>
        <v>1014842374.1990384</v>
      </c>
      <c r="I112" s="67"/>
    </row>
    <row r="113" spans="2:9" outlineLevel="1" x14ac:dyDescent="0.25">
      <c r="B113" s="97"/>
      <c r="C113" s="50"/>
      <c r="D113" s="69"/>
      <c r="E113" s="69"/>
      <c r="F113" s="69"/>
      <c r="G113" s="69"/>
      <c r="H113" s="69"/>
    </row>
    <row r="114" spans="2:9" s="41" customFormat="1" outlineLevel="1" x14ac:dyDescent="0.25">
      <c r="B114" s="66" t="s">
        <v>127</v>
      </c>
      <c r="D114" s="67">
        <f>D107+D112</f>
        <v>626994841.61649549</v>
      </c>
      <c r="E114" s="67">
        <f t="shared" ref="E114:H114" si="45">E107+E112</f>
        <v>692806215.04384208</v>
      </c>
      <c r="F114" s="67">
        <f t="shared" si="45"/>
        <v>784959602.95221639</v>
      </c>
      <c r="G114" s="67">
        <f t="shared" si="45"/>
        <v>900569955.30531549</v>
      </c>
      <c r="H114" s="67">
        <f t="shared" si="45"/>
        <v>1060048655.7830601</v>
      </c>
      <c r="I114" s="67"/>
    </row>
    <row r="115" spans="2:9" x14ac:dyDescent="0.25">
      <c r="B115" s="98"/>
    </row>
    <row r="116" spans="2:9" x14ac:dyDescent="0.25">
      <c r="B116" s="70" t="s">
        <v>129</v>
      </c>
      <c r="C116" s="31"/>
      <c r="D116" s="31"/>
      <c r="E116" s="31"/>
      <c r="F116" s="31"/>
      <c r="G116" s="31"/>
      <c r="H116" s="31"/>
    </row>
    <row r="117" spans="2:9" outlineLevel="1" x14ac:dyDescent="0.25">
      <c r="B117" s="102" t="s">
        <v>95</v>
      </c>
      <c r="D117" s="26">
        <f>D78</f>
        <v>109134814.95695736</v>
      </c>
      <c r="E117" s="26">
        <f t="shared" ref="E117:H117" si="46">E78</f>
        <v>140126575.35526973</v>
      </c>
      <c r="F117" s="26">
        <f t="shared" si="46"/>
        <v>170854884.66489983</v>
      </c>
      <c r="G117" s="26">
        <f t="shared" si="46"/>
        <v>193820679.51335147</v>
      </c>
      <c r="H117" s="26">
        <f t="shared" si="46"/>
        <v>235695353.49855995</v>
      </c>
    </row>
    <row r="118" spans="2:9" outlineLevel="1" x14ac:dyDescent="0.25">
      <c r="B118" s="65" t="s">
        <v>130</v>
      </c>
    </row>
    <row r="119" spans="2:9" outlineLevel="1" x14ac:dyDescent="0.25">
      <c r="B119" s="94" t="s">
        <v>131</v>
      </c>
      <c r="D119" s="26">
        <f>D160</f>
        <v>65360425.671428569</v>
      </c>
      <c r="E119" s="26">
        <f t="shared" ref="E119:H119" si="47">E160</f>
        <v>65360425.671428569</v>
      </c>
      <c r="F119" s="26">
        <f t="shared" si="47"/>
        <v>65360425.671428569</v>
      </c>
      <c r="G119" s="26">
        <f t="shared" si="47"/>
        <v>65360425.671428569</v>
      </c>
      <c r="H119" s="26">
        <f t="shared" si="47"/>
        <v>65360425.671428569</v>
      </c>
    </row>
    <row r="120" spans="2:9" outlineLevel="1" x14ac:dyDescent="0.25">
      <c r="B120" s="94" t="s">
        <v>144</v>
      </c>
      <c r="D120" s="26">
        <f>-D90</f>
        <v>-72064700.136000007</v>
      </c>
      <c r="E120" s="26">
        <f>D90-E90</f>
        <v>-6554754.4645439833</v>
      </c>
      <c r="F120" s="26">
        <f t="shared" ref="F120:H120" si="48">E90-F90</f>
        <v>-5992719.988234669</v>
      </c>
      <c r="G120" s="26">
        <f t="shared" si="48"/>
        <v>8770454.811243996</v>
      </c>
      <c r="H120" s="26">
        <f t="shared" si="48"/>
        <v>-7543605.4764770865</v>
      </c>
    </row>
    <row r="121" spans="2:9" outlineLevel="1" x14ac:dyDescent="0.25">
      <c r="B121" s="94" t="s">
        <v>145</v>
      </c>
      <c r="D121" s="26">
        <f>-D91</f>
        <v>-22060279.292706288</v>
      </c>
      <c r="E121" s="26">
        <f>D91-E91</f>
        <v>-1412195.9413532503</v>
      </c>
      <c r="F121" s="26">
        <f t="shared" ref="F121:H121" si="49">E91-F91</f>
        <v>2911089.7357476205</v>
      </c>
      <c r="G121" s="26">
        <f t="shared" si="49"/>
        <v>-1418645.2631640732</v>
      </c>
      <c r="H121" s="26">
        <f t="shared" si="49"/>
        <v>-1583012.63256694</v>
      </c>
    </row>
    <row r="122" spans="2:9" outlineLevel="1" x14ac:dyDescent="0.25">
      <c r="B122" s="69" t="s">
        <v>146</v>
      </c>
      <c r="C122" s="69"/>
      <c r="D122" s="69">
        <f>D100</f>
        <v>44257836.857538097</v>
      </c>
      <c r="E122" s="69">
        <f>-(D100-E100)</f>
        <v>2782828.9700768739</v>
      </c>
      <c r="F122" s="69">
        <f t="shared" ref="F122:H122" si="50">-(E100-F100)</f>
        <v>-1603465.8585254997</v>
      </c>
      <c r="G122" s="69">
        <f t="shared" si="50"/>
        <v>-1112296.2622524798</v>
      </c>
      <c r="H122" s="69">
        <f t="shared" si="50"/>
        <v>881377.87718468159</v>
      </c>
    </row>
    <row r="123" spans="2:9" s="41" customFormat="1" outlineLevel="1" x14ac:dyDescent="0.25">
      <c r="B123" s="65" t="s">
        <v>132</v>
      </c>
      <c r="D123" s="105">
        <f>SUM(D117:D122)</f>
        <v>124628098.05721775</v>
      </c>
      <c r="E123" s="105">
        <f t="shared" ref="E123:H123" si="51">SUM(E117:E122)</f>
        <v>200302879.59087789</v>
      </c>
      <c r="F123" s="105">
        <f t="shared" si="51"/>
        <v>231530214.22531581</v>
      </c>
      <c r="G123" s="105">
        <f t="shared" si="51"/>
        <v>265420618.47060746</v>
      </c>
      <c r="H123" s="105">
        <f t="shared" si="51"/>
        <v>292810538.93812919</v>
      </c>
    </row>
    <row r="124" spans="2:9" s="41" customFormat="1" outlineLevel="1" x14ac:dyDescent="0.25">
      <c r="B124" s="65"/>
      <c r="D124" s="105"/>
      <c r="E124" s="105"/>
      <c r="F124" s="105"/>
      <c r="G124" s="105"/>
      <c r="H124" s="105"/>
    </row>
    <row r="125" spans="2:9" outlineLevel="1" x14ac:dyDescent="0.25">
      <c r="B125" s="65" t="s">
        <v>133</v>
      </c>
    </row>
    <row r="126" spans="2:9" s="107" customFormat="1" outlineLevel="1" x14ac:dyDescent="0.25">
      <c r="B126" s="106" t="s">
        <v>134</v>
      </c>
      <c r="C126" s="106"/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</row>
    <row r="127" spans="2:9" s="41" customFormat="1" outlineLevel="1" x14ac:dyDescent="0.25">
      <c r="B127" s="108" t="s">
        <v>135</v>
      </c>
      <c r="D127" s="111">
        <f>D126</f>
        <v>0</v>
      </c>
      <c r="E127" s="111">
        <f t="shared" ref="E127:H127" si="52">E126</f>
        <v>0</v>
      </c>
      <c r="F127" s="111">
        <f t="shared" si="52"/>
        <v>0</v>
      </c>
      <c r="G127" s="111">
        <f t="shared" si="52"/>
        <v>0</v>
      </c>
      <c r="H127" s="111">
        <f t="shared" si="52"/>
        <v>0</v>
      </c>
    </row>
    <row r="128" spans="2:9" outlineLevel="1" x14ac:dyDescent="0.25">
      <c r="B128" s="104"/>
      <c r="D128" s="95"/>
      <c r="E128" s="95"/>
      <c r="F128" s="95"/>
      <c r="G128" s="95"/>
      <c r="H128" s="95"/>
    </row>
    <row r="129" spans="2:8" outlineLevel="1" x14ac:dyDescent="0.25">
      <c r="B129" s="65" t="s">
        <v>136</v>
      </c>
    </row>
    <row r="130" spans="2:8" outlineLevel="1" x14ac:dyDescent="0.25">
      <c r="B130" s="94" t="s">
        <v>137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</row>
    <row r="131" spans="2:8" outlineLevel="1" x14ac:dyDescent="0.25">
      <c r="B131" s="94" t="s">
        <v>138</v>
      </c>
      <c r="D131" s="26">
        <f>D187</f>
        <v>-77098030.898000002</v>
      </c>
      <c r="E131" s="26">
        <f t="shared" ref="E131:H131" si="53">E187</f>
        <v>-77098030.898000002</v>
      </c>
      <c r="F131" s="26">
        <f t="shared" si="53"/>
        <v>-77098030.898000002</v>
      </c>
      <c r="G131" s="26">
        <f t="shared" si="53"/>
        <v>-77098030.898000002</v>
      </c>
      <c r="H131" s="26">
        <f t="shared" si="53"/>
        <v>-77098030.898000002</v>
      </c>
    </row>
    <row r="132" spans="2:8" outlineLevel="1" x14ac:dyDescent="0.25">
      <c r="B132" s="106" t="s">
        <v>139</v>
      </c>
      <c r="C132" s="106"/>
      <c r="D132" s="106">
        <v>0</v>
      </c>
      <c r="E132" s="106">
        <v>0</v>
      </c>
      <c r="F132" s="106">
        <v>0</v>
      </c>
      <c r="G132" s="106">
        <v>0</v>
      </c>
      <c r="H132" s="106">
        <v>0</v>
      </c>
    </row>
    <row r="133" spans="2:8" s="41" customFormat="1" outlineLevel="1" x14ac:dyDescent="0.25">
      <c r="B133" s="108" t="s">
        <v>140</v>
      </c>
      <c r="D133" s="105">
        <f>SUM(D130:D132)</f>
        <v>-77098030.898000002</v>
      </c>
      <c r="E133" s="105">
        <f t="shared" ref="E133:H133" si="54">SUM(E130:E132)</f>
        <v>-77098030.898000002</v>
      </c>
      <c r="F133" s="105">
        <f t="shared" si="54"/>
        <v>-77098030.898000002</v>
      </c>
      <c r="G133" s="105">
        <f t="shared" si="54"/>
        <v>-77098030.898000002</v>
      </c>
      <c r="H133" s="105">
        <f t="shared" si="54"/>
        <v>-77098030.898000002</v>
      </c>
    </row>
    <row r="134" spans="2:8" s="76" customFormat="1" outlineLevel="1" x14ac:dyDescent="0.25">
      <c r="B134" s="109"/>
      <c r="C134" s="110"/>
      <c r="D134" s="110"/>
      <c r="E134" s="110"/>
      <c r="F134" s="110"/>
      <c r="G134" s="110"/>
      <c r="H134" s="110"/>
    </row>
    <row r="135" spans="2:8" s="41" customFormat="1" outlineLevel="1" x14ac:dyDescent="0.25">
      <c r="B135" s="65" t="s">
        <v>141</v>
      </c>
      <c r="D135" s="67">
        <f>D123+D127+D133</f>
        <v>47530067.159217745</v>
      </c>
      <c r="E135" s="67">
        <f t="shared" ref="E135:H135" si="55">E123+E127+E133</f>
        <v>123204848.69287789</v>
      </c>
      <c r="F135" s="67">
        <f t="shared" si="55"/>
        <v>154432183.32731581</v>
      </c>
      <c r="G135" s="67">
        <f t="shared" si="55"/>
        <v>188322587.57260746</v>
      </c>
      <c r="H135" s="67">
        <f t="shared" si="55"/>
        <v>215712508.04012918</v>
      </c>
    </row>
    <row r="136" spans="2:8" outlineLevel="1" x14ac:dyDescent="0.25">
      <c r="B136" s="69" t="s">
        <v>142</v>
      </c>
      <c r="C136" s="69"/>
      <c r="D136" s="69">
        <v>0</v>
      </c>
      <c r="E136" s="69">
        <f>D137</f>
        <v>47530067.159217745</v>
      </c>
      <c r="F136" s="69">
        <f t="shared" ref="F136:H136" si="56">E137</f>
        <v>170734915.85209563</v>
      </c>
      <c r="G136" s="69">
        <f t="shared" si="56"/>
        <v>325167099.17941141</v>
      </c>
      <c r="H136" s="69">
        <f t="shared" si="56"/>
        <v>513489686.75201887</v>
      </c>
    </row>
    <row r="137" spans="2:8" s="41" customFormat="1" outlineLevel="1" x14ac:dyDescent="0.25">
      <c r="B137" s="65" t="s">
        <v>143</v>
      </c>
      <c r="D137" s="105">
        <f>D135+D136</f>
        <v>47530067.159217745</v>
      </c>
      <c r="E137" s="105">
        <f t="shared" ref="E137:H137" si="57">E135+E136</f>
        <v>170734915.85209563</v>
      </c>
      <c r="F137" s="105">
        <f t="shared" si="57"/>
        <v>325167099.17941141</v>
      </c>
      <c r="G137" s="105">
        <f t="shared" si="57"/>
        <v>513489686.75201887</v>
      </c>
      <c r="H137" s="105">
        <f t="shared" si="57"/>
        <v>729202194.79214811</v>
      </c>
    </row>
    <row r="138" spans="2:8" x14ac:dyDescent="0.25">
      <c r="B138" s="103"/>
    </row>
    <row r="139" spans="2:8" x14ac:dyDescent="0.25">
      <c r="B139" s="70" t="s">
        <v>97</v>
      </c>
      <c r="C139" s="31"/>
      <c r="D139" s="31"/>
      <c r="E139" s="31"/>
      <c r="F139" s="31"/>
      <c r="G139" s="31"/>
      <c r="H139" s="31"/>
    </row>
    <row r="140" spans="2:8" ht="15.75" outlineLevel="1" thickBot="1" x14ac:dyDescent="0.3">
      <c r="B140" s="71" t="s">
        <v>98</v>
      </c>
      <c r="C140" s="42"/>
      <c r="D140" s="43"/>
      <c r="E140" s="42"/>
      <c r="F140" s="42"/>
      <c r="G140" s="43"/>
      <c r="H140" s="42"/>
    </row>
    <row r="141" spans="2:8" outlineLevel="1" x14ac:dyDescent="0.25">
      <c r="B141" t="s">
        <v>43</v>
      </c>
      <c r="C141" s="9">
        <f t="shared" ref="C141:C148" si="58">C25</f>
        <v>93177241</v>
      </c>
      <c r="D141" s="9">
        <f>C141</f>
        <v>93177241</v>
      </c>
      <c r="E141" s="9">
        <f t="shared" ref="E141:H141" si="59">D141</f>
        <v>93177241</v>
      </c>
      <c r="F141" s="9">
        <f t="shared" si="59"/>
        <v>93177241</v>
      </c>
      <c r="G141" s="9">
        <f t="shared" si="59"/>
        <v>93177241</v>
      </c>
      <c r="H141" s="9">
        <f t="shared" si="59"/>
        <v>93177241</v>
      </c>
    </row>
    <row r="142" spans="2:8" outlineLevel="1" x14ac:dyDescent="0.25">
      <c r="B142" t="s">
        <v>1</v>
      </c>
      <c r="C142" s="9">
        <f t="shared" si="58"/>
        <v>209705017</v>
      </c>
      <c r="D142" s="9">
        <f t="shared" ref="D142:H142" si="60">C142</f>
        <v>209705017</v>
      </c>
      <c r="E142" s="9">
        <f t="shared" si="60"/>
        <v>209705017</v>
      </c>
      <c r="F142" s="9">
        <f t="shared" si="60"/>
        <v>209705017</v>
      </c>
      <c r="G142" s="9">
        <f t="shared" si="60"/>
        <v>209705017</v>
      </c>
      <c r="H142" s="9">
        <f t="shared" si="60"/>
        <v>209705017</v>
      </c>
    </row>
    <row r="143" spans="2:8" outlineLevel="1" x14ac:dyDescent="0.25">
      <c r="B143" t="s">
        <v>2</v>
      </c>
      <c r="C143" s="9">
        <f t="shared" si="58"/>
        <v>211805554</v>
      </c>
      <c r="D143" s="9">
        <f t="shared" ref="D143:H143" si="61">C143</f>
        <v>211805554</v>
      </c>
      <c r="E143" s="9">
        <f t="shared" si="61"/>
        <v>211805554</v>
      </c>
      <c r="F143" s="9">
        <f t="shared" si="61"/>
        <v>211805554</v>
      </c>
      <c r="G143" s="9">
        <f t="shared" si="61"/>
        <v>211805554</v>
      </c>
      <c r="H143" s="9">
        <f t="shared" si="61"/>
        <v>211805554</v>
      </c>
    </row>
    <row r="144" spans="2:8" outlineLevel="1" x14ac:dyDescent="0.25">
      <c r="B144" t="s">
        <v>3</v>
      </c>
      <c r="C144" s="9">
        <f t="shared" si="58"/>
        <v>798232</v>
      </c>
      <c r="D144" s="9">
        <f t="shared" ref="D144:H144" si="62">C144</f>
        <v>798232</v>
      </c>
      <c r="E144" s="9">
        <f t="shared" si="62"/>
        <v>798232</v>
      </c>
      <c r="F144" s="9">
        <f t="shared" si="62"/>
        <v>798232</v>
      </c>
      <c r="G144" s="9">
        <f t="shared" si="62"/>
        <v>798232</v>
      </c>
      <c r="H144" s="9">
        <f t="shared" si="62"/>
        <v>798232</v>
      </c>
    </row>
    <row r="145" spans="2:8" outlineLevel="1" x14ac:dyDescent="0.25">
      <c r="B145" t="s">
        <v>4</v>
      </c>
      <c r="C145" s="9">
        <f t="shared" si="58"/>
        <v>2016821</v>
      </c>
      <c r="D145" s="9">
        <f t="shared" ref="D145:H145" si="63">C145</f>
        <v>2016821</v>
      </c>
      <c r="E145" s="9">
        <f t="shared" si="63"/>
        <v>2016821</v>
      </c>
      <c r="F145" s="9">
        <f t="shared" si="63"/>
        <v>2016821</v>
      </c>
      <c r="G145" s="9">
        <f t="shared" si="63"/>
        <v>2016821</v>
      </c>
      <c r="H145" s="9">
        <f t="shared" si="63"/>
        <v>2016821</v>
      </c>
    </row>
    <row r="146" spans="2:8" outlineLevel="1" x14ac:dyDescent="0.25">
      <c r="B146" t="s">
        <v>5</v>
      </c>
      <c r="C146" s="9">
        <f t="shared" si="58"/>
        <v>15210706.500000002</v>
      </c>
      <c r="D146" s="9">
        <f t="shared" ref="D146:H146" si="64">C146</f>
        <v>15210706.500000002</v>
      </c>
      <c r="E146" s="9">
        <f t="shared" si="64"/>
        <v>15210706.500000002</v>
      </c>
      <c r="F146" s="9">
        <f t="shared" si="64"/>
        <v>15210706.500000002</v>
      </c>
      <c r="G146" s="9">
        <f t="shared" si="64"/>
        <v>15210706.500000002</v>
      </c>
      <c r="H146" s="9">
        <f t="shared" si="64"/>
        <v>15210706.500000002</v>
      </c>
    </row>
    <row r="147" spans="2:8" outlineLevel="1" x14ac:dyDescent="0.25">
      <c r="B147" t="s">
        <v>44</v>
      </c>
      <c r="C147" s="9">
        <f t="shared" si="58"/>
        <v>15042249.200000001</v>
      </c>
      <c r="D147" s="9">
        <f t="shared" ref="D147:H147" si="65">C147</f>
        <v>15042249.200000001</v>
      </c>
      <c r="E147" s="9">
        <f t="shared" si="65"/>
        <v>15042249.200000001</v>
      </c>
      <c r="F147" s="9">
        <f t="shared" si="65"/>
        <v>15042249.200000001</v>
      </c>
      <c r="G147" s="9">
        <f t="shared" si="65"/>
        <v>15042249.200000001</v>
      </c>
      <c r="H147" s="9">
        <f t="shared" si="65"/>
        <v>15042249.200000001</v>
      </c>
    </row>
    <row r="148" spans="2:8" outlineLevel="1" x14ac:dyDescent="0.25">
      <c r="B148" s="69" t="s">
        <v>6</v>
      </c>
      <c r="C148" s="69">
        <f t="shared" si="58"/>
        <v>2944400</v>
      </c>
      <c r="D148" s="69">
        <f t="shared" ref="D148:H149" si="66">C148</f>
        <v>2944400</v>
      </c>
      <c r="E148" s="69">
        <f t="shared" si="66"/>
        <v>2944400</v>
      </c>
      <c r="F148" s="69">
        <f t="shared" si="66"/>
        <v>2944400</v>
      </c>
      <c r="G148" s="69">
        <f t="shared" si="66"/>
        <v>2944400</v>
      </c>
      <c r="H148" s="69">
        <f t="shared" si="66"/>
        <v>2944400</v>
      </c>
    </row>
    <row r="149" spans="2:8" s="67" customFormat="1" outlineLevel="1" x14ac:dyDescent="0.25">
      <c r="B149" s="72" t="s">
        <v>99</v>
      </c>
      <c r="C149" s="67">
        <f>SUM(C141:C148)</f>
        <v>550700220.70000005</v>
      </c>
      <c r="D149" s="67">
        <f t="shared" si="66"/>
        <v>550700220.70000005</v>
      </c>
      <c r="E149" s="67">
        <f t="shared" si="66"/>
        <v>550700220.70000005</v>
      </c>
      <c r="F149" s="67">
        <f t="shared" si="66"/>
        <v>550700220.70000005</v>
      </c>
      <c r="G149" s="67">
        <f t="shared" si="66"/>
        <v>550700220.70000005</v>
      </c>
      <c r="H149" s="67">
        <f t="shared" si="66"/>
        <v>550700220.70000005</v>
      </c>
    </row>
    <row r="150" spans="2:8" outlineLevel="1" x14ac:dyDescent="0.25"/>
    <row r="151" spans="2:8" ht="15.75" outlineLevel="1" thickBot="1" x14ac:dyDescent="0.3">
      <c r="B151" s="71" t="s">
        <v>102</v>
      </c>
      <c r="C151" s="42"/>
      <c r="D151" s="43"/>
      <c r="E151" s="42"/>
      <c r="F151" s="42"/>
      <c r="G151" s="43"/>
      <c r="H151" s="42"/>
    </row>
    <row r="152" spans="2:8" outlineLevel="1" x14ac:dyDescent="0.25">
      <c r="B152" s="101" t="s">
        <v>43</v>
      </c>
      <c r="D152" s="64">
        <f>D141*$D$25</f>
        <v>0</v>
      </c>
      <c r="E152" s="64">
        <f t="shared" ref="E152:H152" si="67">E141*$D$25</f>
        <v>0</v>
      </c>
      <c r="F152" s="64">
        <f t="shared" si="67"/>
        <v>0</v>
      </c>
      <c r="G152" s="64">
        <f t="shared" si="67"/>
        <v>0</v>
      </c>
      <c r="H152" s="64">
        <f t="shared" si="67"/>
        <v>0</v>
      </c>
    </row>
    <row r="153" spans="2:8" outlineLevel="1" x14ac:dyDescent="0.25">
      <c r="B153" s="101" t="s">
        <v>1</v>
      </c>
      <c r="D153" s="25">
        <f>D142*$D$26</f>
        <v>29957859.571428571</v>
      </c>
      <c r="E153" s="25">
        <f t="shared" ref="E153:H153" si="68">E142*$D$26</f>
        <v>29957859.571428571</v>
      </c>
      <c r="F153" s="25">
        <f t="shared" si="68"/>
        <v>29957859.571428571</v>
      </c>
      <c r="G153" s="25">
        <f t="shared" si="68"/>
        <v>29957859.571428571</v>
      </c>
      <c r="H153" s="25">
        <f t="shared" si="68"/>
        <v>29957859.571428571</v>
      </c>
    </row>
    <row r="154" spans="2:8" outlineLevel="1" x14ac:dyDescent="0.25">
      <c r="B154" s="101" t="s">
        <v>2</v>
      </c>
      <c r="D154" s="25">
        <f>D143*$D$27</f>
        <v>30257936.285714284</v>
      </c>
      <c r="E154" s="25">
        <f t="shared" ref="E154:H154" si="69">E143*$D$27</f>
        <v>30257936.285714284</v>
      </c>
      <c r="F154" s="25">
        <f t="shared" si="69"/>
        <v>30257936.285714284</v>
      </c>
      <c r="G154" s="25">
        <f t="shared" si="69"/>
        <v>30257936.285714284</v>
      </c>
      <c r="H154" s="25">
        <f t="shared" si="69"/>
        <v>30257936.285714284</v>
      </c>
    </row>
    <row r="155" spans="2:8" outlineLevel="1" x14ac:dyDescent="0.25">
      <c r="B155" s="101" t="s">
        <v>3</v>
      </c>
      <c r="D155" s="25">
        <f>D144*$D$29</f>
        <v>114033.14285714286</v>
      </c>
      <c r="E155" s="25">
        <f t="shared" ref="E155:H155" si="70">E144*$D$29</f>
        <v>114033.14285714286</v>
      </c>
      <c r="F155" s="25">
        <f t="shared" si="70"/>
        <v>114033.14285714286</v>
      </c>
      <c r="G155" s="25">
        <f t="shared" si="70"/>
        <v>114033.14285714286</v>
      </c>
      <c r="H155" s="25">
        <f t="shared" si="70"/>
        <v>114033.14285714286</v>
      </c>
    </row>
    <row r="156" spans="2:8" outlineLevel="1" x14ac:dyDescent="0.25">
      <c r="B156" s="101" t="s">
        <v>4</v>
      </c>
      <c r="D156" s="25">
        <f>D145*$D$29</f>
        <v>288117.28571428568</v>
      </c>
      <c r="E156" s="25">
        <f t="shared" ref="E156:H156" si="71">E145*$D$29</f>
        <v>288117.28571428568</v>
      </c>
      <c r="F156" s="25">
        <f t="shared" si="71"/>
        <v>288117.28571428568</v>
      </c>
      <c r="G156" s="25">
        <f t="shared" si="71"/>
        <v>288117.28571428568</v>
      </c>
      <c r="H156" s="25">
        <f t="shared" si="71"/>
        <v>288117.28571428568</v>
      </c>
    </row>
    <row r="157" spans="2:8" outlineLevel="1" x14ac:dyDescent="0.25">
      <c r="B157" s="101" t="s">
        <v>5</v>
      </c>
      <c r="D157" s="25">
        <f>D146*$D$30</f>
        <v>2172958.0714285714</v>
      </c>
      <c r="E157" s="25">
        <f t="shared" ref="E157:H157" si="72">E146*$D$30</f>
        <v>2172958.0714285714</v>
      </c>
      <c r="F157" s="25">
        <f t="shared" si="72"/>
        <v>2172958.0714285714</v>
      </c>
      <c r="G157" s="25">
        <f t="shared" si="72"/>
        <v>2172958.0714285714</v>
      </c>
      <c r="H157" s="25">
        <f t="shared" si="72"/>
        <v>2172958.0714285714</v>
      </c>
    </row>
    <row r="158" spans="2:8" outlineLevel="1" x14ac:dyDescent="0.25">
      <c r="B158" s="101" t="s">
        <v>44</v>
      </c>
      <c r="D158" s="25">
        <f>D147*$D$31</f>
        <v>2148892.7428571428</v>
      </c>
      <c r="E158" s="25">
        <f t="shared" ref="E158:H158" si="73">E147*$D$31</f>
        <v>2148892.7428571428</v>
      </c>
      <c r="F158" s="25">
        <f t="shared" si="73"/>
        <v>2148892.7428571428</v>
      </c>
      <c r="G158" s="25">
        <f t="shared" si="73"/>
        <v>2148892.7428571428</v>
      </c>
      <c r="H158" s="25">
        <f t="shared" si="73"/>
        <v>2148892.7428571428</v>
      </c>
    </row>
    <row r="159" spans="2:8" outlineLevel="1" x14ac:dyDescent="0.25">
      <c r="B159" s="69" t="s">
        <v>6</v>
      </c>
      <c r="C159" s="69"/>
      <c r="D159" s="69">
        <f>D148*$D$32</f>
        <v>420628.57142857142</v>
      </c>
      <c r="E159" s="69">
        <f t="shared" ref="E159:H159" si="74">E148*$D$32</f>
        <v>420628.57142857142</v>
      </c>
      <c r="F159" s="69">
        <f t="shared" si="74"/>
        <v>420628.57142857142</v>
      </c>
      <c r="G159" s="69">
        <f t="shared" si="74"/>
        <v>420628.57142857142</v>
      </c>
      <c r="H159" s="69">
        <f t="shared" si="74"/>
        <v>420628.57142857142</v>
      </c>
    </row>
    <row r="160" spans="2:8" s="67" customFormat="1" outlineLevel="1" x14ac:dyDescent="0.25">
      <c r="B160" s="72" t="s">
        <v>100</v>
      </c>
      <c r="D160" s="67">
        <f>SUM(D152:D159)</f>
        <v>65360425.671428569</v>
      </c>
      <c r="E160" s="67">
        <f t="shared" ref="E160:H160" si="75">SUM(E152:E159)</f>
        <v>65360425.671428569</v>
      </c>
      <c r="F160" s="67">
        <f t="shared" si="75"/>
        <v>65360425.671428569</v>
      </c>
      <c r="G160" s="67">
        <f t="shared" si="75"/>
        <v>65360425.671428569</v>
      </c>
      <c r="H160" s="67">
        <f t="shared" si="75"/>
        <v>65360425.671428569</v>
      </c>
    </row>
    <row r="161" spans="2:8" outlineLevel="1" x14ac:dyDescent="0.25">
      <c r="D161" s="25"/>
      <c r="E161" s="25"/>
      <c r="F161" s="25"/>
      <c r="G161" s="25"/>
      <c r="H161" s="25"/>
    </row>
    <row r="162" spans="2:8" ht="15.75" outlineLevel="1" thickBot="1" x14ac:dyDescent="0.3">
      <c r="B162" s="71" t="s">
        <v>103</v>
      </c>
      <c r="C162" s="42"/>
      <c r="D162" s="43"/>
      <c r="E162" s="42"/>
      <c r="F162" s="42"/>
      <c r="G162" s="43"/>
      <c r="H162" s="42"/>
    </row>
    <row r="163" spans="2:8" outlineLevel="1" x14ac:dyDescent="0.25">
      <c r="B163" s="101" t="s">
        <v>43</v>
      </c>
      <c r="D163" s="25">
        <f>D152</f>
        <v>0</v>
      </c>
      <c r="E163" s="25">
        <f>D163+E152</f>
        <v>0</v>
      </c>
      <c r="F163" s="25">
        <f t="shared" ref="F163:H163" si="76">E163+F152</f>
        <v>0</v>
      </c>
      <c r="G163" s="25">
        <f t="shared" si="76"/>
        <v>0</v>
      </c>
      <c r="H163" s="25">
        <f t="shared" si="76"/>
        <v>0</v>
      </c>
    </row>
    <row r="164" spans="2:8" outlineLevel="1" x14ac:dyDescent="0.25">
      <c r="B164" s="101" t="s">
        <v>1</v>
      </c>
      <c r="D164" s="25">
        <f t="shared" ref="D164:D170" si="77">D153</f>
        <v>29957859.571428571</v>
      </c>
      <c r="E164" s="25">
        <f>D164+E153</f>
        <v>59915719.142857142</v>
      </c>
      <c r="F164" s="25">
        <f t="shared" ref="F164:H164" si="78">E164+F153</f>
        <v>89873578.714285716</v>
      </c>
      <c r="G164" s="25">
        <f t="shared" si="78"/>
        <v>119831438.28571428</v>
      </c>
      <c r="H164" s="25">
        <f t="shared" si="78"/>
        <v>149789297.85714287</v>
      </c>
    </row>
    <row r="165" spans="2:8" outlineLevel="1" x14ac:dyDescent="0.25">
      <c r="B165" s="101" t="s">
        <v>2</v>
      </c>
      <c r="D165" s="25">
        <f t="shared" si="77"/>
        <v>30257936.285714284</v>
      </c>
      <c r="E165" s="25">
        <f t="shared" ref="E165:H170" si="79">D165+E154</f>
        <v>60515872.571428567</v>
      </c>
      <c r="F165" s="25">
        <f t="shared" si="79"/>
        <v>90773808.857142851</v>
      </c>
      <c r="G165" s="25">
        <f t="shared" si="79"/>
        <v>121031745.14285713</v>
      </c>
      <c r="H165" s="25">
        <f t="shared" si="79"/>
        <v>151289681.4285714</v>
      </c>
    </row>
    <row r="166" spans="2:8" outlineLevel="1" x14ac:dyDescent="0.25">
      <c r="B166" s="101" t="s">
        <v>3</v>
      </c>
      <c r="D166" s="25">
        <f t="shared" si="77"/>
        <v>114033.14285714286</v>
      </c>
      <c r="E166" s="25">
        <f t="shared" si="79"/>
        <v>228066.28571428571</v>
      </c>
      <c r="F166" s="25">
        <f t="shared" si="79"/>
        <v>342099.42857142858</v>
      </c>
      <c r="G166" s="25">
        <f t="shared" si="79"/>
        <v>456132.57142857142</v>
      </c>
      <c r="H166" s="25">
        <f t="shared" si="79"/>
        <v>570165.71428571432</v>
      </c>
    </row>
    <row r="167" spans="2:8" outlineLevel="1" x14ac:dyDescent="0.25">
      <c r="B167" s="101" t="s">
        <v>4</v>
      </c>
      <c r="D167" s="25">
        <f t="shared" si="77"/>
        <v>288117.28571428568</v>
      </c>
      <c r="E167" s="25">
        <f t="shared" si="79"/>
        <v>576234.57142857136</v>
      </c>
      <c r="F167" s="25">
        <f t="shared" si="79"/>
        <v>864351.85714285704</v>
      </c>
      <c r="G167" s="25">
        <f t="shared" si="79"/>
        <v>1152469.1428571427</v>
      </c>
      <c r="H167" s="25">
        <f t="shared" si="79"/>
        <v>1440586.4285714284</v>
      </c>
    </row>
    <row r="168" spans="2:8" outlineLevel="1" x14ac:dyDescent="0.25">
      <c r="B168" s="101" t="s">
        <v>5</v>
      </c>
      <c r="D168" s="25">
        <f t="shared" si="77"/>
        <v>2172958.0714285714</v>
      </c>
      <c r="E168" s="25">
        <f t="shared" si="79"/>
        <v>4345916.1428571427</v>
      </c>
      <c r="F168" s="25">
        <f t="shared" si="79"/>
        <v>6518874.2142857146</v>
      </c>
      <c r="G168" s="25">
        <f t="shared" si="79"/>
        <v>8691832.2857142854</v>
      </c>
      <c r="H168" s="25">
        <f t="shared" si="79"/>
        <v>10864790.357142856</v>
      </c>
    </row>
    <row r="169" spans="2:8" outlineLevel="1" x14ac:dyDescent="0.25">
      <c r="B169" s="101" t="s">
        <v>44</v>
      </c>
      <c r="D169" s="25">
        <f t="shared" si="77"/>
        <v>2148892.7428571428</v>
      </c>
      <c r="E169" s="25">
        <f t="shared" si="79"/>
        <v>4297785.4857142856</v>
      </c>
      <c r="F169" s="25">
        <f t="shared" si="79"/>
        <v>6446678.228571428</v>
      </c>
      <c r="G169" s="25">
        <f t="shared" si="79"/>
        <v>8595570.9714285713</v>
      </c>
      <c r="H169" s="25">
        <f t="shared" si="79"/>
        <v>10744463.714285715</v>
      </c>
    </row>
    <row r="170" spans="2:8" s="73" customFormat="1" outlineLevel="1" x14ac:dyDescent="0.25">
      <c r="B170" s="50" t="s">
        <v>6</v>
      </c>
      <c r="C170" s="50"/>
      <c r="D170" s="50">
        <f t="shared" si="77"/>
        <v>420628.57142857142</v>
      </c>
      <c r="E170" s="50">
        <f t="shared" si="79"/>
        <v>841257.14285714284</v>
      </c>
      <c r="F170" s="50">
        <f t="shared" si="79"/>
        <v>1261885.7142857143</v>
      </c>
      <c r="G170" s="50">
        <f t="shared" si="79"/>
        <v>1682514.2857142857</v>
      </c>
      <c r="H170" s="50">
        <f t="shared" si="79"/>
        <v>2103142.8571428573</v>
      </c>
    </row>
    <row r="171" spans="2:8" s="67" customFormat="1" outlineLevel="1" x14ac:dyDescent="0.25">
      <c r="B171" s="72" t="s">
        <v>101</v>
      </c>
      <c r="D171" s="67">
        <f>SUM(D163:D170)</f>
        <v>65360425.671428569</v>
      </c>
      <c r="E171" s="67">
        <f t="shared" ref="E171:H171" si="80">SUM(E163:E170)</f>
        <v>130720851.34285714</v>
      </c>
      <c r="F171" s="67">
        <f t="shared" si="80"/>
        <v>196081277.01428568</v>
      </c>
      <c r="G171" s="67">
        <f t="shared" si="80"/>
        <v>261441702.68571427</v>
      </c>
      <c r="H171" s="67">
        <f t="shared" si="80"/>
        <v>326802128.35714287</v>
      </c>
    </row>
    <row r="172" spans="2:8" outlineLevel="1" x14ac:dyDescent="0.25"/>
    <row r="173" spans="2:8" ht="15.75" outlineLevel="1" thickBot="1" x14ac:dyDescent="0.3">
      <c r="B173" s="71" t="s">
        <v>104</v>
      </c>
      <c r="C173" s="42"/>
      <c r="D173" s="43"/>
      <c r="E173" s="42"/>
      <c r="F173" s="42"/>
      <c r="G173" s="43"/>
      <c r="H173" s="42"/>
    </row>
    <row r="174" spans="2:8" outlineLevel="1" x14ac:dyDescent="0.25">
      <c r="B174" s="101" t="s">
        <v>43</v>
      </c>
      <c r="D174" s="26">
        <f>D141-D163</f>
        <v>93177241</v>
      </c>
      <c r="E174" s="26">
        <f t="shared" ref="E174:H174" si="81">E141-E163</f>
        <v>93177241</v>
      </c>
      <c r="F174" s="26">
        <f t="shared" si="81"/>
        <v>93177241</v>
      </c>
      <c r="G174" s="26">
        <f t="shared" si="81"/>
        <v>93177241</v>
      </c>
      <c r="H174" s="26">
        <f t="shared" si="81"/>
        <v>93177241</v>
      </c>
    </row>
    <row r="175" spans="2:8" outlineLevel="1" x14ac:dyDescent="0.25">
      <c r="B175" s="101" t="s">
        <v>1</v>
      </c>
      <c r="D175" s="26">
        <f t="shared" ref="D175:H181" si="82">D142-D164</f>
        <v>179747157.42857143</v>
      </c>
      <c r="E175" s="26">
        <f t="shared" si="82"/>
        <v>149789297.85714287</v>
      </c>
      <c r="F175" s="26">
        <f t="shared" si="82"/>
        <v>119831438.28571428</v>
      </c>
      <c r="G175" s="26">
        <f t="shared" si="82"/>
        <v>89873578.714285716</v>
      </c>
      <c r="H175" s="26">
        <f t="shared" si="82"/>
        <v>59915719.142857134</v>
      </c>
    </row>
    <row r="176" spans="2:8" outlineLevel="1" x14ac:dyDescent="0.25">
      <c r="B176" s="101" t="s">
        <v>2</v>
      </c>
      <c r="D176" s="26">
        <f t="shared" si="82"/>
        <v>181547617.71428573</v>
      </c>
      <c r="E176" s="26">
        <f t="shared" si="82"/>
        <v>151289681.42857143</v>
      </c>
      <c r="F176" s="26">
        <f t="shared" si="82"/>
        <v>121031745.14285715</v>
      </c>
      <c r="G176" s="26">
        <f t="shared" si="82"/>
        <v>90773808.857142866</v>
      </c>
      <c r="H176" s="26">
        <f t="shared" si="82"/>
        <v>60515872.571428597</v>
      </c>
    </row>
    <row r="177" spans="2:8" outlineLevel="1" x14ac:dyDescent="0.25">
      <c r="B177" s="101" t="s">
        <v>3</v>
      </c>
      <c r="D177" s="26">
        <f t="shared" si="82"/>
        <v>684198.85714285716</v>
      </c>
      <c r="E177" s="26">
        <f t="shared" si="82"/>
        <v>570165.71428571432</v>
      </c>
      <c r="F177" s="26">
        <f t="shared" si="82"/>
        <v>456132.57142857142</v>
      </c>
      <c r="G177" s="26">
        <f t="shared" si="82"/>
        <v>342099.42857142858</v>
      </c>
      <c r="H177" s="26">
        <f t="shared" si="82"/>
        <v>228066.28571428568</v>
      </c>
    </row>
    <row r="178" spans="2:8" outlineLevel="1" x14ac:dyDescent="0.25">
      <c r="B178" s="101" t="s">
        <v>4</v>
      </c>
      <c r="D178" s="26">
        <f t="shared" si="82"/>
        <v>1728703.7142857143</v>
      </c>
      <c r="E178" s="26">
        <f t="shared" si="82"/>
        <v>1440586.4285714286</v>
      </c>
      <c r="F178" s="26">
        <f t="shared" si="82"/>
        <v>1152469.142857143</v>
      </c>
      <c r="G178" s="26">
        <f t="shared" si="82"/>
        <v>864351.85714285728</v>
      </c>
      <c r="H178" s="26">
        <f t="shared" si="82"/>
        <v>576234.57142857159</v>
      </c>
    </row>
    <row r="179" spans="2:8" outlineLevel="1" x14ac:dyDescent="0.25">
      <c r="B179" s="101" t="s">
        <v>5</v>
      </c>
      <c r="D179" s="26">
        <f t="shared" si="82"/>
        <v>13037748.428571431</v>
      </c>
      <c r="E179" s="26">
        <f t="shared" si="82"/>
        <v>10864790.357142858</v>
      </c>
      <c r="F179" s="26">
        <f t="shared" si="82"/>
        <v>8691832.2857142873</v>
      </c>
      <c r="G179" s="26">
        <f t="shared" si="82"/>
        <v>6518874.2142857164</v>
      </c>
      <c r="H179" s="26">
        <f t="shared" si="82"/>
        <v>4345916.1428571455</v>
      </c>
    </row>
    <row r="180" spans="2:8" outlineLevel="1" x14ac:dyDescent="0.25">
      <c r="B180" s="101" t="s">
        <v>44</v>
      </c>
      <c r="D180" s="26">
        <f t="shared" si="82"/>
        <v>12893356.457142858</v>
      </c>
      <c r="E180" s="26">
        <f t="shared" si="82"/>
        <v>10744463.714285716</v>
      </c>
      <c r="F180" s="26">
        <f t="shared" si="82"/>
        <v>8595570.9714285731</v>
      </c>
      <c r="G180" s="26">
        <f t="shared" si="82"/>
        <v>6446678.2285714298</v>
      </c>
      <c r="H180" s="26">
        <f t="shared" si="82"/>
        <v>4297785.4857142866</v>
      </c>
    </row>
    <row r="181" spans="2:8" outlineLevel="1" x14ac:dyDescent="0.25">
      <c r="B181" s="69" t="s">
        <v>6</v>
      </c>
      <c r="C181" s="69"/>
      <c r="D181" s="69">
        <f t="shared" si="82"/>
        <v>2523771.4285714286</v>
      </c>
      <c r="E181" s="69">
        <f t="shared" si="82"/>
        <v>2103142.8571428573</v>
      </c>
      <c r="F181" s="69">
        <f t="shared" si="82"/>
        <v>1682514.2857142857</v>
      </c>
      <c r="G181" s="69">
        <f t="shared" si="82"/>
        <v>1261885.7142857143</v>
      </c>
      <c r="H181" s="69">
        <f t="shared" si="82"/>
        <v>841257.14285714272</v>
      </c>
    </row>
    <row r="182" spans="2:8" s="67" customFormat="1" outlineLevel="1" x14ac:dyDescent="0.25">
      <c r="B182" s="72" t="s">
        <v>105</v>
      </c>
      <c r="D182" s="67">
        <f>SUM(D174:D181)</f>
        <v>485339795.02857143</v>
      </c>
      <c r="E182" s="67">
        <f t="shared" ref="E182:H182" si="83">SUM(E174:E181)</f>
        <v>419979369.35714287</v>
      </c>
      <c r="F182" s="67">
        <f t="shared" si="83"/>
        <v>354618943.68571424</v>
      </c>
      <c r="G182" s="67">
        <f t="shared" si="83"/>
        <v>289258518.01428574</v>
      </c>
      <c r="H182" s="67">
        <f t="shared" si="83"/>
        <v>223898092.34285715</v>
      </c>
    </row>
    <row r="183" spans="2:8" outlineLevel="1" x14ac:dyDescent="0.25"/>
    <row r="184" spans="2:8" ht="15.75" outlineLevel="1" thickBot="1" x14ac:dyDescent="0.3">
      <c r="B184" s="42" t="s">
        <v>106</v>
      </c>
      <c r="C184" s="42"/>
      <c r="D184" s="43"/>
      <c r="E184" s="42"/>
      <c r="F184" s="42"/>
      <c r="G184" s="43"/>
      <c r="H184" s="42"/>
    </row>
    <row r="185" spans="2:8" outlineLevel="1" x14ac:dyDescent="0.25">
      <c r="B185" t="s">
        <v>107</v>
      </c>
      <c r="C185" s="25">
        <f>C44</f>
        <v>385490154.49000001</v>
      </c>
      <c r="D185" s="25">
        <f>C188</f>
        <v>385490154.49000001</v>
      </c>
      <c r="E185" s="25">
        <f t="shared" ref="E185:H185" si="84">D188</f>
        <v>308392123.59200001</v>
      </c>
      <c r="F185" s="25">
        <f t="shared" si="84"/>
        <v>231294092.69400001</v>
      </c>
      <c r="G185" s="25">
        <f t="shared" si="84"/>
        <v>154196061.796</v>
      </c>
      <c r="H185" s="25">
        <f t="shared" si="84"/>
        <v>77098030.898000002</v>
      </c>
    </row>
    <row r="186" spans="2:8" outlineLevel="1" x14ac:dyDescent="0.25">
      <c r="B186" t="s">
        <v>111</v>
      </c>
      <c r="C186" s="25">
        <v>0</v>
      </c>
      <c r="D186" s="25">
        <v>0</v>
      </c>
      <c r="E186" s="25">
        <v>0</v>
      </c>
      <c r="F186" s="25">
        <v>0</v>
      </c>
      <c r="G186" s="25">
        <v>0</v>
      </c>
      <c r="H186" s="25">
        <v>0</v>
      </c>
    </row>
    <row r="187" spans="2:8" outlineLevel="1" x14ac:dyDescent="0.25">
      <c r="B187" s="69" t="s">
        <v>108</v>
      </c>
      <c r="C187" s="69"/>
      <c r="D187" s="69">
        <f>-$C$45</f>
        <v>-77098030.898000002</v>
      </c>
      <c r="E187" s="69">
        <f t="shared" ref="E187:H187" si="85">-$C$45</f>
        <v>-77098030.898000002</v>
      </c>
      <c r="F187" s="69">
        <f t="shared" si="85"/>
        <v>-77098030.898000002</v>
      </c>
      <c r="G187" s="69">
        <f t="shared" si="85"/>
        <v>-77098030.898000002</v>
      </c>
      <c r="H187" s="69">
        <f t="shared" si="85"/>
        <v>-77098030.898000002</v>
      </c>
    </row>
    <row r="188" spans="2:8" s="67" customFormat="1" outlineLevel="1" x14ac:dyDescent="0.25">
      <c r="B188" s="72" t="s">
        <v>109</v>
      </c>
      <c r="C188" s="67">
        <f>SUM(C185:C187)</f>
        <v>385490154.49000001</v>
      </c>
      <c r="D188" s="67">
        <f t="shared" ref="D188:H188" si="86">SUM(D185:D187)</f>
        <v>308392123.59200001</v>
      </c>
      <c r="E188" s="67">
        <f t="shared" si="86"/>
        <v>231294092.69400001</v>
      </c>
      <c r="F188" s="67">
        <f t="shared" si="86"/>
        <v>154196061.796</v>
      </c>
      <c r="G188" s="67">
        <f t="shared" si="86"/>
        <v>77098030.898000002</v>
      </c>
      <c r="H188" s="67">
        <f t="shared" si="86"/>
        <v>0</v>
      </c>
    </row>
    <row r="189" spans="2:8" outlineLevel="1" x14ac:dyDescent="0.25">
      <c r="B189" s="74" t="s">
        <v>21</v>
      </c>
      <c r="C189" s="74"/>
      <c r="D189" s="74">
        <f>C43</f>
        <v>9.5000000000000001E-2</v>
      </c>
      <c r="E189" s="74">
        <f>D189</f>
        <v>9.5000000000000001E-2</v>
      </c>
      <c r="F189" s="74">
        <f t="shared" ref="F189:H189" si="87">E189</f>
        <v>9.5000000000000001E-2</v>
      </c>
      <c r="G189" s="74">
        <f t="shared" si="87"/>
        <v>9.5000000000000001E-2</v>
      </c>
      <c r="H189" s="74">
        <f t="shared" si="87"/>
        <v>9.5000000000000001E-2</v>
      </c>
    </row>
    <row r="190" spans="2:8" s="67" customFormat="1" outlineLevel="1" x14ac:dyDescent="0.25">
      <c r="B190" s="72" t="s">
        <v>110</v>
      </c>
      <c r="D190" s="67">
        <f>AVERAGE(D185,D188)*D189</f>
        <v>32959408.208895002</v>
      </c>
      <c r="E190" s="67">
        <f t="shared" ref="E190:H190" si="88">AVERAGE(E185,E188)*E189</f>
        <v>25635095.273584999</v>
      </c>
      <c r="F190" s="67">
        <f t="shared" si="88"/>
        <v>18310782.338275</v>
      </c>
      <c r="G190" s="67">
        <f t="shared" si="88"/>
        <v>10986469.402965</v>
      </c>
      <c r="H190" s="67">
        <f t="shared" si="88"/>
        <v>3662156.4676550003</v>
      </c>
    </row>
  </sheetData>
  <phoneticPr fontId="6" type="noConversion"/>
  <pageMargins left="0.7" right="0.7" top="0.75" bottom="0.7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Data</vt:lpstr>
      <vt:lpstr>3-Statment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shakibul alam</dc:creator>
  <cp:lastModifiedBy>Md. Nahid Hasan</cp:lastModifiedBy>
  <cp:lastPrinted>2025-11-22T18:40:43Z</cp:lastPrinted>
  <dcterms:created xsi:type="dcterms:W3CDTF">2015-06-05T18:17:20Z</dcterms:created>
  <dcterms:modified xsi:type="dcterms:W3CDTF">2026-04-27T20:53:26Z</dcterms:modified>
</cp:coreProperties>
</file>